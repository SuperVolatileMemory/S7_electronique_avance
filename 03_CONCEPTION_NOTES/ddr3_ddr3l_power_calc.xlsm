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564CA151-5A5B-428A-3C10-775976492406}"/>
  <workbookPr codeName="ThisWorkbook"/>
  <mc:AlternateContent xmlns:mc="http://schemas.openxmlformats.org/markup-compatibility/2006">
    <mc:Choice Requires="x15">
      <x15ac:absPath xmlns:x15ac="http://schemas.microsoft.com/office/spreadsheetml/2010/11/ac" url="C:\Users\School\Documents\S7_electronique_avance\03_CONCEPTION_NOTES\"/>
    </mc:Choice>
  </mc:AlternateContent>
  <xr:revisionPtr revIDLastSave="0" documentId="13_ncr:1_{9167EE1B-44A6-4889-A8BA-BEBC2B852362}" xr6:coauthVersionLast="47" xr6:coauthVersionMax="47" xr10:uidLastSave="{00000000-0000-0000-0000-000000000000}"/>
  <bookViews>
    <workbookView xWindow="-108" yWindow="-108" windowWidth="30936" windowHeight="16896" activeTab="5" xr2:uid="{00000000-000D-0000-FFFF-FFFF00000000}"/>
  </bookViews>
  <sheets>
    <sheet name="Title" sheetId="4" r:id="rId1"/>
    <sheet name="Instructions" sheetId="7" r:id="rId2"/>
    <sheet name="DDR3 Spec" sheetId="8" r:id="rId3"/>
    <sheet name="DDR3 Config" sheetId="1" r:id="rId4"/>
    <sheet name="System Config" sheetId="2" r:id="rId5"/>
    <sheet name="Power Calcs" sheetId="5" r:id="rId6"/>
    <sheet name="Summary" sheetId="6" r:id="rId7"/>
  </sheets>
  <definedNames>
    <definedName name="_xlnm.Print_Area" localSheetId="3">'DDR3 Config'!$A$1:$O$37</definedName>
    <definedName name="_xlnm.Print_Area" localSheetId="2">'DDR3 Spec'!$A$1:$AL$107</definedName>
    <definedName name="_xlnm.Print_Area" localSheetId="1">Instructions!$A$1:$E$43</definedName>
    <definedName name="_xlnm.Print_Area" localSheetId="5">'Power Calcs'!$A$1:$L$24</definedName>
    <definedName name="_xlnm.Print_Area" localSheetId="6">Summary!$A$1:$M$60</definedName>
    <definedName name="_xlnm.Print_Area" localSheetId="4">'System Config'!$A$1:$E$35</definedName>
    <definedName name="_xlnm.Print_Area" localSheetId="0">Title!$A$1:$E$23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5" i="1" l="1"/>
  <c r="C24" i="2" l="1"/>
  <c r="C19" i="1"/>
  <c r="L81" i="8"/>
  <c r="L80" i="8"/>
  <c r="C16" i="1"/>
  <c r="C15" i="1"/>
  <c r="E7" i="2" l="1"/>
  <c r="C7" i="1"/>
  <c r="M77" i="8" l="1"/>
  <c r="L77" i="8"/>
  <c r="K77" i="8"/>
  <c r="J77" i="8"/>
  <c r="I77" i="8"/>
  <c r="H77" i="8"/>
  <c r="G77" i="8"/>
  <c r="F77" i="8"/>
  <c r="E77" i="8"/>
  <c r="D77" i="8"/>
  <c r="M76" i="8"/>
  <c r="L76" i="8"/>
  <c r="K76" i="8"/>
  <c r="J76" i="8"/>
  <c r="I76" i="8"/>
  <c r="H76" i="8"/>
  <c r="G76" i="8"/>
  <c r="F76" i="8"/>
  <c r="E76" i="8"/>
  <c r="D76" i="8"/>
  <c r="M75" i="8"/>
  <c r="L75" i="8"/>
  <c r="K75" i="8"/>
  <c r="J75" i="8"/>
  <c r="I75" i="8"/>
  <c r="H75" i="8"/>
  <c r="G75" i="8"/>
  <c r="F75" i="8"/>
  <c r="E75" i="8"/>
  <c r="D75" i="8"/>
  <c r="M74" i="8"/>
  <c r="L74" i="8"/>
  <c r="K74" i="8"/>
  <c r="J74" i="8"/>
  <c r="I74" i="8"/>
  <c r="H74" i="8"/>
  <c r="G74" i="8"/>
  <c r="F74" i="8"/>
  <c r="E74" i="8"/>
  <c r="D74" i="8"/>
  <c r="M73" i="8"/>
  <c r="L73" i="8"/>
  <c r="K73" i="8"/>
  <c r="J73" i="8"/>
  <c r="I73" i="8"/>
  <c r="H73" i="8"/>
  <c r="G73" i="8"/>
  <c r="F73" i="8"/>
  <c r="E73" i="8"/>
  <c r="D73" i="8"/>
  <c r="M72" i="8"/>
  <c r="L72" i="8"/>
  <c r="K72" i="8"/>
  <c r="J72" i="8"/>
  <c r="I72" i="8"/>
  <c r="H72" i="8"/>
  <c r="G72" i="8"/>
  <c r="F72" i="8"/>
  <c r="E72" i="8"/>
  <c r="D72" i="8"/>
  <c r="M71" i="8"/>
  <c r="L71" i="8"/>
  <c r="K71" i="8"/>
  <c r="J71" i="8"/>
  <c r="I71" i="8"/>
  <c r="H71" i="8"/>
  <c r="G71" i="8"/>
  <c r="F71" i="8"/>
  <c r="E71" i="8"/>
  <c r="D71" i="8"/>
  <c r="M70" i="8"/>
  <c r="L70" i="8"/>
  <c r="K70" i="8"/>
  <c r="J70" i="8"/>
  <c r="I70" i="8"/>
  <c r="H70" i="8"/>
  <c r="G70" i="8"/>
  <c r="F70" i="8"/>
  <c r="E70" i="8"/>
  <c r="D70" i="8"/>
  <c r="M69" i="8"/>
  <c r="L69" i="8"/>
  <c r="K69" i="8"/>
  <c r="J69" i="8"/>
  <c r="I69" i="8"/>
  <c r="H69" i="8"/>
  <c r="G69" i="8"/>
  <c r="F69" i="8"/>
  <c r="E69" i="8"/>
  <c r="D69" i="8"/>
  <c r="M66" i="8"/>
  <c r="L66" i="8"/>
  <c r="K66" i="8"/>
  <c r="J66" i="8"/>
  <c r="I66" i="8"/>
  <c r="H66" i="8"/>
  <c r="G66" i="8"/>
  <c r="F66" i="8"/>
  <c r="E66" i="8"/>
  <c r="D66" i="8"/>
  <c r="M65" i="8"/>
  <c r="L65" i="8"/>
  <c r="K65" i="8"/>
  <c r="J65" i="8"/>
  <c r="I65" i="8"/>
  <c r="H65" i="8"/>
  <c r="G65" i="8"/>
  <c r="F65" i="8"/>
  <c r="E65" i="8"/>
  <c r="D65" i="8"/>
  <c r="M64" i="8"/>
  <c r="L64" i="8"/>
  <c r="K64" i="8"/>
  <c r="J64" i="8"/>
  <c r="I64" i="8"/>
  <c r="H64" i="8"/>
  <c r="G64" i="8"/>
  <c r="F64" i="8"/>
  <c r="E64" i="8"/>
  <c r="D64" i="8"/>
  <c r="M63" i="8"/>
  <c r="L63" i="8"/>
  <c r="K63" i="8"/>
  <c r="J63" i="8"/>
  <c r="I63" i="8"/>
  <c r="H63" i="8"/>
  <c r="G63" i="8"/>
  <c r="F63" i="8"/>
  <c r="E63" i="8"/>
  <c r="D63" i="8"/>
  <c r="M62" i="8"/>
  <c r="L62" i="8"/>
  <c r="K62" i="8"/>
  <c r="J62" i="8"/>
  <c r="I62" i="8"/>
  <c r="H62" i="8"/>
  <c r="G62" i="8"/>
  <c r="F62" i="8"/>
  <c r="E62" i="8"/>
  <c r="D62" i="8"/>
  <c r="M61" i="8"/>
  <c r="L61" i="8"/>
  <c r="K61" i="8"/>
  <c r="J61" i="8"/>
  <c r="I61" i="8"/>
  <c r="H61" i="8"/>
  <c r="G61" i="8"/>
  <c r="F61" i="8"/>
  <c r="E61" i="8"/>
  <c r="D61" i="8"/>
  <c r="M60" i="8"/>
  <c r="L60" i="8"/>
  <c r="K60" i="8"/>
  <c r="J60" i="8"/>
  <c r="I60" i="8"/>
  <c r="H60" i="8"/>
  <c r="G60" i="8"/>
  <c r="F60" i="8"/>
  <c r="E60" i="8"/>
  <c r="D60" i="8"/>
  <c r="M59" i="8"/>
  <c r="L59" i="8"/>
  <c r="K59" i="8"/>
  <c r="J59" i="8"/>
  <c r="I59" i="8"/>
  <c r="H59" i="8"/>
  <c r="G59" i="8"/>
  <c r="F59" i="8"/>
  <c r="E59" i="8"/>
  <c r="D59" i="8"/>
  <c r="M58" i="8"/>
  <c r="L58" i="8"/>
  <c r="K58" i="8"/>
  <c r="J58" i="8"/>
  <c r="I58" i="8"/>
  <c r="H58" i="8"/>
  <c r="G58" i="8"/>
  <c r="F58" i="8"/>
  <c r="E58" i="8"/>
  <c r="D58" i="8"/>
  <c r="M57" i="8"/>
  <c r="L57" i="8"/>
  <c r="K57" i="8"/>
  <c r="J57" i="8"/>
  <c r="I57" i="8"/>
  <c r="H57" i="8"/>
  <c r="G57" i="8"/>
  <c r="F57" i="8"/>
  <c r="E57" i="8"/>
  <c r="D57" i="8"/>
  <c r="M56" i="8"/>
  <c r="L56" i="8"/>
  <c r="K56" i="8"/>
  <c r="J56" i="8"/>
  <c r="I56" i="8"/>
  <c r="H56" i="8"/>
  <c r="G56" i="8"/>
  <c r="F56" i="8"/>
  <c r="E56" i="8"/>
  <c r="D56" i="8"/>
  <c r="M55" i="8"/>
  <c r="L55" i="8"/>
  <c r="K55" i="8"/>
  <c r="J55" i="8"/>
  <c r="I55" i="8"/>
  <c r="H55" i="8"/>
  <c r="G55" i="8"/>
  <c r="F55" i="8"/>
  <c r="E55" i="8"/>
  <c r="D55" i="8"/>
  <c r="M54" i="8"/>
  <c r="L54" i="8"/>
  <c r="K54" i="8"/>
  <c r="J54" i="8"/>
  <c r="I54" i="8"/>
  <c r="H54" i="8"/>
  <c r="G54" i="8"/>
  <c r="F54" i="8"/>
  <c r="E54" i="8"/>
  <c r="D54" i="8"/>
  <c r="M53" i="8"/>
  <c r="L53" i="8"/>
  <c r="K53" i="8"/>
  <c r="J53" i="8"/>
  <c r="I53" i="8"/>
  <c r="H53" i="8"/>
  <c r="G53" i="8"/>
  <c r="F53" i="8"/>
  <c r="E53" i="8"/>
  <c r="D53" i="8"/>
  <c r="M52" i="8"/>
  <c r="L52" i="8"/>
  <c r="K52" i="8"/>
  <c r="J52" i="8"/>
  <c r="I52" i="8"/>
  <c r="H52" i="8"/>
  <c r="G52" i="8"/>
  <c r="F52" i="8"/>
  <c r="E52" i="8"/>
  <c r="D52" i="8"/>
  <c r="M51" i="8"/>
  <c r="L51" i="8"/>
  <c r="K51" i="8"/>
  <c r="J51" i="8"/>
  <c r="I51" i="8"/>
  <c r="H51" i="8"/>
  <c r="G51" i="8"/>
  <c r="F51" i="8"/>
  <c r="E51" i="8"/>
  <c r="D51" i="8"/>
  <c r="M50" i="8"/>
  <c r="L50" i="8"/>
  <c r="K50" i="8"/>
  <c r="J50" i="8"/>
  <c r="I50" i="8"/>
  <c r="H50" i="8"/>
  <c r="G50" i="8"/>
  <c r="F50" i="8"/>
  <c r="E50" i="8"/>
  <c r="D50" i="8"/>
  <c r="M49" i="8"/>
  <c r="L49" i="8"/>
  <c r="K49" i="8"/>
  <c r="J49" i="8"/>
  <c r="I49" i="8"/>
  <c r="H49" i="8"/>
  <c r="G49" i="8"/>
  <c r="F49" i="8"/>
  <c r="E49" i="8"/>
  <c r="D49" i="8"/>
  <c r="M48" i="8"/>
  <c r="L48" i="8"/>
  <c r="K48" i="8"/>
  <c r="J48" i="8"/>
  <c r="I48" i="8"/>
  <c r="H48" i="8"/>
  <c r="G48" i="8"/>
  <c r="F48" i="8"/>
  <c r="E48" i="8"/>
  <c r="D48" i="8"/>
  <c r="M47" i="8"/>
  <c r="L47" i="8"/>
  <c r="K47" i="8"/>
  <c r="J47" i="8"/>
  <c r="I47" i="8"/>
  <c r="H47" i="8"/>
  <c r="G47" i="8"/>
  <c r="F47" i="8"/>
  <c r="E47" i="8"/>
  <c r="D47" i="8"/>
  <c r="D42" i="8"/>
  <c r="M45" i="8"/>
  <c r="L45" i="8"/>
  <c r="K45" i="8"/>
  <c r="J45" i="8"/>
  <c r="I45" i="8"/>
  <c r="H45" i="8"/>
  <c r="G45" i="8"/>
  <c r="F45" i="8"/>
  <c r="E45" i="8"/>
  <c r="D45" i="8"/>
  <c r="D44" i="8"/>
  <c r="M44" i="8"/>
  <c r="L44" i="8"/>
  <c r="K44" i="8"/>
  <c r="J44" i="8"/>
  <c r="I44" i="8"/>
  <c r="H44" i="8"/>
  <c r="G44" i="8"/>
  <c r="F44" i="8"/>
  <c r="E44" i="8"/>
  <c r="M42" i="8"/>
  <c r="L42" i="8"/>
  <c r="K42" i="8"/>
  <c r="J42" i="8"/>
  <c r="I42" i="8"/>
  <c r="H42" i="8"/>
  <c r="G42" i="8"/>
  <c r="F42" i="8"/>
  <c r="E42" i="8"/>
  <c r="U15" i="2"/>
  <c r="Q15" i="2"/>
  <c r="I15" i="2"/>
  <c r="U14" i="2"/>
  <c r="U13" i="2"/>
  <c r="C39" i="2"/>
  <c r="C40" i="2" s="1"/>
  <c r="C28" i="2" s="1"/>
  <c r="E22" i="2"/>
  <c r="E18" i="2"/>
  <c r="P20" i="6"/>
  <c r="P14" i="6"/>
  <c r="P13" i="6"/>
  <c r="P11" i="6"/>
  <c r="P12" i="6"/>
  <c r="P10" i="6"/>
  <c r="P19" i="6"/>
  <c r="P15" i="6"/>
  <c r="P17" i="6"/>
  <c r="P16" i="6"/>
  <c r="P18" i="6"/>
  <c r="C8" i="1"/>
  <c r="C34" i="5" s="1"/>
  <c r="H12" i="1"/>
  <c r="H11" i="1"/>
  <c r="H10" i="1"/>
  <c r="H9" i="1"/>
  <c r="H8" i="1"/>
  <c r="H7" i="1"/>
  <c r="H6" i="1"/>
  <c r="H5" i="1"/>
  <c r="H4" i="1"/>
  <c r="A49" i="6"/>
  <c r="W43" i="8"/>
  <c r="C18" i="1"/>
  <c r="H3" i="1"/>
  <c r="C33" i="5"/>
  <c r="C29" i="5"/>
  <c r="C30" i="5"/>
  <c r="C9" i="1" l="1"/>
  <c r="C35" i="5" s="1"/>
  <c r="A5" i="5" s="1"/>
  <c r="B54" i="6"/>
  <c r="B53" i="6"/>
  <c r="W63" i="8"/>
  <c r="W51" i="8"/>
  <c r="W57" i="8"/>
  <c r="W65" i="8"/>
  <c r="W52" i="8"/>
  <c r="W60" i="8"/>
  <c r="W48" i="8"/>
  <c r="W54" i="8"/>
  <c r="W62" i="8"/>
  <c r="B52" i="6"/>
  <c r="W72" i="8"/>
  <c r="L96" i="8" s="1"/>
  <c r="C32" i="1" s="1"/>
  <c r="W77" i="8"/>
  <c r="L101" i="8" s="1"/>
  <c r="C37" i="1" s="1"/>
  <c r="W76" i="8"/>
  <c r="L100" i="8" s="1"/>
  <c r="C36" i="1" s="1"/>
  <c r="W75" i="8"/>
  <c r="L99" i="8" s="1"/>
  <c r="C35" i="1" s="1"/>
  <c r="W74" i="8"/>
  <c r="L98" i="8" s="1"/>
  <c r="C34" i="1" s="1"/>
  <c r="W73" i="8"/>
  <c r="L97" i="8" s="1"/>
  <c r="C33" i="1" s="1"/>
  <c r="W71" i="8"/>
  <c r="W70" i="8"/>
  <c r="W69" i="8"/>
  <c r="L94" i="8" s="1"/>
  <c r="C30" i="1" s="1"/>
  <c r="W45" i="8"/>
  <c r="W44" i="8"/>
  <c r="Q17" i="2"/>
  <c r="U17" i="2" s="1"/>
  <c r="I17" i="2"/>
  <c r="M17" i="2" s="1"/>
  <c r="A51" i="6"/>
  <c r="W47" i="8"/>
  <c r="W49" i="8"/>
  <c r="W50" i="8"/>
  <c r="W53" i="8"/>
  <c r="W55" i="8"/>
  <c r="W56" i="8"/>
  <c r="W58" i="8"/>
  <c r="W59" i="8"/>
  <c r="W61" i="8"/>
  <c r="W64" i="8"/>
  <c r="W66" i="8"/>
  <c r="W42" i="8" l="1"/>
  <c r="A5" i="6"/>
  <c r="L89" i="8"/>
  <c r="C25" i="1" s="1"/>
  <c r="C14" i="5" s="1"/>
  <c r="G14" i="5" s="1"/>
  <c r="K14" i="5" s="1"/>
  <c r="D17" i="6" s="1"/>
  <c r="Q15" i="6" s="1"/>
  <c r="L91" i="8"/>
  <c r="C27" i="1" s="1"/>
  <c r="A50" i="6"/>
  <c r="C7" i="6" s="1"/>
  <c r="L90" i="8"/>
  <c r="C26" i="1" s="1"/>
  <c r="L87" i="8"/>
  <c r="L92" i="8"/>
  <c r="C28" i="1" s="1"/>
  <c r="L86" i="8"/>
  <c r="L85" i="8"/>
  <c r="C23" i="1" s="1"/>
  <c r="C12" i="5" s="1"/>
  <c r="G12" i="5" s="1"/>
  <c r="K12" i="5" s="1"/>
  <c r="D18" i="6" s="1"/>
  <c r="Q16" i="6" s="1"/>
  <c r="L83" i="8"/>
  <c r="C21" i="1" s="1"/>
  <c r="L88" i="8"/>
  <c r="C24" i="1" s="1"/>
  <c r="C13" i="5" s="1"/>
  <c r="G13" i="5" s="1"/>
  <c r="K13" i="5" s="1"/>
  <c r="D19" i="6" s="1"/>
  <c r="Q17" i="6" s="1"/>
  <c r="L95" i="8"/>
  <c r="C31" i="1" s="1"/>
  <c r="E8" i="2"/>
  <c r="U18" i="2"/>
  <c r="U19" i="2"/>
  <c r="M18" i="2"/>
  <c r="M19" i="2"/>
  <c r="S17" i="2"/>
  <c r="Q18" i="2"/>
  <c r="K19" i="2"/>
  <c r="K18" i="2"/>
  <c r="K17" i="2"/>
  <c r="I18" i="2"/>
  <c r="AE15" i="2"/>
  <c r="AE14" i="2"/>
  <c r="AE13" i="2"/>
  <c r="Y13" i="2"/>
  <c r="C14" i="2" l="1"/>
  <c r="C22" i="5" s="1"/>
  <c r="G22" i="5" s="1"/>
  <c r="K22" i="5" s="1"/>
  <c r="C11" i="2"/>
  <c r="C19" i="5" s="1"/>
  <c r="G19" i="5" s="1"/>
  <c r="K19" i="5" s="1"/>
  <c r="D14" i="6" s="1"/>
  <c r="Q13" i="6" s="1"/>
  <c r="C18" i="5"/>
  <c r="G18" i="5" s="1"/>
  <c r="K18" i="5" s="1"/>
  <c r="D12" i="6" s="1"/>
  <c r="Q11" i="6" s="1"/>
  <c r="C15" i="5"/>
  <c r="G15" i="5" s="1"/>
  <c r="K15" i="5" s="1"/>
  <c r="D21" i="6" s="1"/>
  <c r="Q19" i="6" s="1"/>
  <c r="C17" i="5"/>
  <c r="G17" i="5" s="1"/>
  <c r="K17" i="5" s="1"/>
  <c r="D13" i="6" s="1"/>
  <c r="Q12" i="6" s="1"/>
  <c r="C13" i="2"/>
  <c r="L84" i="8"/>
  <c r="C22" i="1" s="1"/>
  <c r="C11" i="5" s="1"/>
  <c r="G11" i="5" s="1"/>
  <c r="K11" i="5" s="1"/>
  <c r="D20" i="6" s="1"/>
  <c r="Q18" i="6" s="1"/>
  <c r="C16" i="5"/>
  <c r="G16" i="5" s="1"/>
  <c r="K16" i="5" s="1"/>
  <c r="D10" i="6" s="1"/>
  <c r="D11" i="6" s="1"/>
  <c r="S19" i="2"/>
  <c r="S18" i="2"/>
  <c r="AB14" i="2"/>
  <c r="AB13" i="2"/>
  <c r="AB15" i="2"/>
  <c r="C12" i="2" l="1"/>
  <c r="C20" i="5" s="1"/>
  <c r="G20" i="5" s="1"/>
  <c r="K20" i="5" s="1"/>
  <c r="D15" i="6" s="1"/>
  <c r="Q14" i="6" s="1"/>
  <c r="D22" i="6"/>
  <c r="Q10" i="6"/>
  <c r="C21" i="5"/>
  <c r="G21" i="5" s="1"/>
  <c r="K21" i="5" s="1"/>
  <c r="K25" i="5" s="1"/>
  <c r="D16" i="6" l="1"/>
  <c r="D23" i="6" s="1"/>
  <c r="K24" i="5"/>
  <c r="D24" i="6"/>
  <c r="Q20" i="6" s="1"/>
</calcChain>
</file>

<file path=xl/sharedStrings.xml><?xml version="1.0" encoding="utf-8"?>
<sst xmlns="http://schemas.openxmlformats.org/spreadsheetml/2006/main" count="1209" uniqueCount="334">
  <si>
    <t>Total DRAM Power Consumed</t>
  </si>
  <si>
    <t>Minimum activate-to-activate timing (different bank)</t>
  </si>
  <si>
    <t>Minimum activate-to-activate timing (Same bank)</t>
  </si>
  <si>
    <t>The percentage of the all bank precharge time for which CKE is held LOW</t>
  </si>
  <si>
    <t>Background power used during active power-down</t>
  </si>
  <si>
    <t>Row 8 is the clock rate the DRAM is operating at. This is one half of the data rate.</t>
  </si>
  <si>
    <t>The percentage of the at least one bank active time for which CKE is held LOW</t>
  </si>
  <si>
    <t>Power Calcs tab</t>
  </si>
  <si>
    <t>Summary tab</t>
  </si>
  <si>
    <t>VCC</t>
  </si>
  <si>
    <t>mW</t>
  </si>
  <si>
    <t>MHz</t>
  </si>
  <si>
    <t>V</t>
  </si>
  <si>
    <t>mA</t>
  </si>
  <si>
    <t>Read Bandwidth</t>
  </si>
  <si>
    <t>Row 15 is the time when all banks are in a precharged state. This is the amount of time when no bank has been activated.</t>
  </si>
  <si>
    <t>DRAM write power</t>
  </si>
  <si>
    <t>DRAM power for ACT/PRE commands</t>
  </si>
  <si>
    <t>Background power to complete refreshes</t>
  </si>
  <si>
    <t>DRAM Usage Conditions in the System Environment</t>
  </si>
  <si>
    <t>Maximum Precharge Power-Down Standby Current</t>
  </si>
  <si>
    <t>Maximum Precharge Standby Current</t>
  </si>
  <si>
    <t>Maximum Active Power-Down Standby Current</t>
  </si>
  <si>
    <t>Maximum Active Standby Current</t>
  </si>
  <si>
    <t>Maximum Read Burst Current</t>
  </si>
  <si>
    <t>Maximum Write BurstCurrent</t>
  </si>
  <si>
    <t>THIS SPREADSHEET IS FOR ESTIMATING PURPOSES ONLY. ANY INFORMATION PROVIDED HEREIN IS PROVIDED "AS IS" AND WITHOUT WARRANTIES OF ANY KIND.  MICRON WARRANTS ONLY THAT ITS PRODUCTS COMPLY WITH MICRON'S SPECIFICATION SHEET FOR THE PRODUCT AT THE TIME OF DELIVERY; PROVIDED THAT DEVIATIONS FROM SPECIFICATIONS WHICH DO NOT MATERIALLY AFFECT FORM, FIT OR FUNCTION OF SUCH PRODUCT IN THE SYSTEM AND CONFIGURATION IN OR FOR WHICH IT IS INITIALLY INSTALLED OR QUALIFIED BY CUSTOMER SHALL NOT BE DEEMED TO CONSTITUTE FAILURE TO COMPLY WITH SUCH SPECIFICATIONS.</t>
  </si>
  <si>
    <t>SEE MICRON'S STANDARD TERMS AND CONDITIONS OF SALE FOR COMPLETE WARRANTY DETAILS.</t>
  </si>
  <si>
    <t>The percentage of clock cycles which are terminating write data to another DRAM</t>
  </si>
  <si>
    <t>The percentage of clock cycles which are terminating read data to another DRAM</t>
  </si>
  <si>
    <t>Term power for writes</t>
  </si>
  <si>
    <t>tRAS used for IDD0 Calcualtion</t>
  </si>
  <si>
    <t>Maximum Burst Refresh Current</t>
  </si>
  <si>
    <t>Term power for writes from another rank</t>
  </si>
  <si>
    <t>Write Bandwidth</t>
  </si>
  <si>
    <t>MB/sec</t>
  </si>
  <si>
    <t>ns</t>
  </si>
  <si>
    <t>File Name</t>
  </si>
  <si>
    <t>Revision</t>
  </si>
  <si>
    <t>Date</t>
  </si>
  <si>
    <t>Company</t>
  </si>
  <si>
    <t>E-Mail</t>
  </si>
  <si>
    <t>Description</t>
  </si>
  <si>
    <t>Notes</t>
  </si>
  <si>
    <t>Disclaimer</t>
  </si>
  <si>
    <t>Micron Technology, Inc.</t>
  </si>
  <si>
    <t>:</t>
  </si>
  <si>
    <t>Density</t>
  </si>
  <si>
    <t>Speed Grade</t>
  </si>
  <si>
    <t>Value</t>
  </si>
  <si>
    <t>Units</t>
  </si>
  <si>
    <t>Parameter</t>
  </si>
  <si>
    <t>Condition</t>
  </si>
  <si>
    <t>DRAM Density</t>
  </si>
  <si>
    <t>FREQ</t>
  </si>
  <si>
    <t>Device</t>
  </si>
  <si>
    <t>IO</t>
  </si>
  <si>
    <t>Limitations</t>
  </si>
  <si>
    <t xml:space="preserve"> Total Background  Power</t>
  </si>
  <si>
    <t>Number of DQs per DRAM</t>
  </si>
  <si>
    <t>Values that may be updated are shown in green. This will be dependent on how the system accesses the DRAM.</t>
  </si>
  <si>
    <t>DRAM read power</t>
  </si>
  <si>
    <t>DQ output power</t>
  </si>
  <si>
    <t xml:space="preserve">must be either 4 or 8 </t>
  </si>
  <si>
    <t>Average Clocks between Rows</t>
  </si>
  <si>
    <t>Pds(PRE_PDN)</t>
  </si>
  <si>
    <t>Pds(PRE_STBY)</t>
  </si>
  <si>
    <t>Pds(ACT_PDN)</t>
  </si>
  <si>
    <t>Pds(ACT_STBY)</t>
  </si>
  <si>
    <t>Pds(REF)</t>
  </si>
  <si>
    <t>Pds(ACT)</t>
  </si>
  <si>
    <t>Pds(WR)</t>
  </si>
  <si>
    <t>Pds(RD)</t>
  </si>
  <si>
    <t>Pds(DQ)</t>
  </si>
  <si>
    <t>Pds(termW)</t>
  </si>
  <si>
    <t>Pds(termRoth)</t>
  </si>
  <si>
    <t>Pds(termWoth)</t>
  </si>
  <si>
    <t>The average time between ACT commands to this DRAM (includes ACT to same or different banks in the same DRAM device)</t>
  </si>
  <si>
    <t>Background power used during precharge power-down</t>
  </si>
  <si>
    <t>Background power used during idle standby</t>
  </si>
  <si>
    <t>Background power used during active standby</t>
  </si>
  <si>
    <t>Total Activate Power</t>
  </si>
  <si>
    <t>Maximum Active Precharge Current</t>
  </si>
  <si>
    <t>BNK_PRE%</t>
  </si>
  <si>
    <t>PdqRD</t>
  </si>
  <si>
    <t>PdqWR</t>
  </si>
  <si>
    <t>PdqWRoth</t>
  </si>
  <si>
    <t>PdqRDoth</t>
  </si>
  <si>
    <t>Row 21 is the percentage of clocks that data is read from the DRAM. This would be equal to the average read bandwidth divided by peak read bandwidth.</t>
  </si>
  <si>
    <t xml:space="preserve">Row 22 is the percentage of clocks that data is written to the DRAM. This would be equal to the average read bandwidth divided by peak read bandwidth. </t>
  </si>
  <si>
    <t>Term power for reads from another rank</t>
  </si>
  <si>
    <t>Minimum refresh to refresh cycle time</t>
  </si>
  <si>
    <t>Average periodic refresh cycle time</t>
  </si>
  <si>
    <t>tCK(min)</t>
  </si>
  <si>
    <t>tCK(max)</t>
  </si>
  <si>
    <t>Total RD/WR/Term Power</t>
  </si>
  <si>
    <t>Term</t>
  </si>
  <si>
    <t>DQs per DRAM</t>
  </si>
  <si>
    <t>x4/x8</t>
  </si>
  <si>
    <t>x16</t>
  </si>
  <si>
    <t>x4</t>
  </si>
  <si>
    <t>x8</t>
  </si>
  <si>
    <t>PD Exit Mode</t>
  </si>
  <si>
    <t>Inputs are required for all densities and speed grades that may be chosen.</t>
  </si>
  <si>
    <t>Psys(PRE_PDN)</t>
  </si>
  <si>
    <t>Psys(PRE_STBY)</t>
  </si>
  <si>
    <t>Psys(ACT_PDN)</t>
  </si>
  <si>
    <t>Psys(ACT_STBY)</t>
  </si>
  <si>
    <t>Psys(REF)</t>
  </si>
  <si>
    <t>Psys(ACT)</t>
  </si>
  <si>
    <t>Psys(WR)</t>
  </si>
  <si>
    <t>Psys(RD)</t>
  </si>
  <si>
    <t>Psys(DQ)</t>
  </si>
  <si>
    <t>Psys(termW)</t>
  </si>
  <si>
    <t>Psys(termRoth)</t>
  </si>
  <si>
    <t>Psys(termWoth)</t>
  </si>
  <si>
    <t>Psch(PRE_PDN)</t>
  </si>
  <si>
    <t>Psch(PRE_STBY)</t>
  </si>
  <si>
    <t>Psch(ACT_PDN)</t>
  </si>
  <si>
    <t>Psch(ACT_STBY)</t>
  </si>
  <si>
    <t>Psch(REF)</t>
  </si>
  <si>
    <t>Psch(ACT)</t>
  </si>
  <si>
    <t>Psch(WR)</t>
  </si>
  <si>
    <t>Psch(RD)</t>
  </si>
  <si>
    <t>Psch(DQ)</t>
  </si>
  <si>
    <t>Psch(termW)</t>
  </si>
  <si>
    <t>Psch(termRoth)</t>
  </si>
  <si>
    <t>Psch(termWoth)</t>
  </si>
  <si>
    <t>RDsch%</t>
  </si>
  <si>
    <t>WRsch%</t>
  </si>
  <si>
    <t>PH%</t>
  </si>
  <si>
    <t>termRDsch%</t>
  </si>
  <si>
    <t>termWRsch%</t>
  </si>
  <si>
    <t>CKE_LO_PRE%</t>
  </si>
  <si>
    <t>CKE_LO_ACT%</t>
  </si>
  <si>
    <t>All rights reserved.</t>
  </si>
  <si>
    <t>Instructions for Use</t>
  </si>
  <si>
    <t>Row 9 is the burst length programmed in the mode register. (The model does not calculate power if burst interrupt is utilized.)</t>
  </si>
  <si>
    <t>Row 23 is the page hit rate. 0% means there are no page hits (i.e., one read/write per each activate).</t>
  </si>
  <si>
    <t>Row 24 is the percentage of clock cycles the DRAM under investigation is terminating read data from another device. It does not include time when a different DRAM on the bus may be terminating data.</t>
  </si>
  <si>
    <t>Row 25 is the percentage of clock cycles the DRAM under investigation is terminating write data from another device. It does not include time when a different DRAM on the bus may be terminating data.</t>
  </si>
  <si>
    <t>No inputs are required for this tab. It contains some of the detail calculations that provide information into the Summary tab. It can be used as a reference for further understanding the calculator, or you may jump straight to the Summary page for the final answer.</t>
  </si>
  <si>
    <t>Maximum active precharge current</t>
  </si>
  <si>
    <t>Maximum precharge power-down standby current</t>
  </si>
  <si>
    <t>Maximum precharge standby current</t>
  </si>
  <si>
    <t>Maximum active power-down standby current</t>
  </si>
  <si>
    <t>Maximum active standby current</t>
  </si>
  <si>
    <t>Maximum read burst current</t>
  </si>
  <si>
    <t>Maximum write burst current</t>
  </si>
  <si>
    <t>Maximum burst refresh current</t>
  </si>
  <si>
    <t>Minimum activate-to-activate timing (same bank)</t>
  </si>
  <si>
    <t>Minimum refresh-to-refresh cycle time</t>
  </si>
  <si>
    <t>Initial numbers are for reference only and must be verified with existing DRAM data sheets for accuracy prior to using the spreadsheet.</t>
  </si>
  <si>
    <t>Number of DQ strobes (DQS) per DRAM</t>
  </si>
  <si>
    <t>Number of data mask (DM) per DRAM</t>
  </si>
  <si>
    <t>System CK frequency</t>
  </si>
  <si>
    <t>Burst length</t>
  </si>
  <si>
    <t>The percentage of time that all banks on the DRAM are in a precharged state</t>
  </si>
  <si>
    <t>Page hit rate</t>
  </si>
  <si>
    <t>The percentage of clock cycles which are outputting read data from the DRAM</t>
  </si>
  <si>
    <t>The percentage of clock cycles which are inputting write data to the DRAM</t>
  </si>
  <si>
    <t>1Gb</t>
  </si>
  <si>
    <t>Power Derated for System Usage Conditions Input into This Model</t>
  </si>
  <si>
    <r>
      <t>I</t>
    </r>
    <r>
      <rPr>
        <sz val="8"/>
        <rFont val="Arial"/>
        <family val="2"/>
      </rPr>
      <t>DD</t>
    </r>
    <r>
      <rPr>
        <sz val="10"/>
        <rFont val="Arial"/>
        <family val="2"/>
      </rPr>
      <t>0</t>
    </r>
  </si>
  <si>
    <r>
      <t>I</t>
    </r>
    <r>
      <rPr>
        <sz val="8"/>
        <rFont val="Arial"/>
        <family val="2"/>
      </rPr>
      <t>DD</t>
    </r>
    <r>
      <rPr>
        <sz val="10"/>
        <rFont val="Arial"/>
        <family val="2"/>
      </rPr>
      <t>2P</t>
    </r>
  </si>
  <si>
    <r>
      <t>I</t>
    </r>
    <r>
      <rPr>
        <sz val="8"/>
        <rFont val="Arial"/>
        <family val="2"/>
      </rPr>
      <t>DD</t>
    </r>
    <r>
      <rPr>
        <sz val="10"/>
        <rFont val="Arial"/>
        <family val="2"/>
      </rPr>
      <t>2N</t>
    </r>
  </si>
  <si>
    <r>
      <t>I</t>
    </r>
    <r>
      <rPr>
        <sz val="8"/>
        <rFont val="Arial"/>
        <family val="2"/>
      </rPr>
      <t>DD</t>
    </r>
    <r>
      <rPr>
        <sz val="10"/>
        <rFont val="Arial"/>
        <family val="2"/>
      </rPr>
      <t>3P</t>
    </r>
  </si>
  <si>
    <r>
      <t>I</t>
    </r>
    <r>
      <rPr>
        <sz val="8"/>
        <rFont val="Arial"/>
        <family val="2"/>
      </rPr>
      <t>DD</t>
    </r>
    <r>
      <rPr>
        <sz val="10"/>
        <rFont val="Arial"/>
        <family val="2"/>
      </rPr>
      <t>3N</t>
    </r>
  </si>
  <si>
    <r>
      <t>I</t>
    </r>
    <r>
      <rPr>
        <sz val="8"/>
        <rFont val="Arial"/>
        <family val="2"/>
      </rPr>
      <t>DD</t>
    </r>
    <r>
      <rPr>
        <sz val="10"/>
        <rFont val="Arial"/>
        <family val="2"/>
      </rPr>
      <t>4R</t>
    </r>
  </si>
  <si>
    <r>
      <t>I</t>
    </r>
    <r>
      <rPr>
        <sz val="8"/>
        <rFont val="Arial"/>
        <family val="2"/>
      </rPr>
      <t>DD</t>
    </r>
    <r>
      <rPr>
        <sz val="10"/>
        <rFont val="Arial"/>
        <family val="2"/>
      </rPr>
      <t>4W</t>
    </r>
  </si>
  <si>
    <r>
      <t>I</t>
    </r>
    <r>
      <rPr>
        <sz val="8"/>
        <rFont val="Arial"/>
        <family val="2"/>
      </rPr>
      <t>DD5A</t>
    </r>
  </si>
  <si>
    <r>
      <t>t</t>
    </r>
    <r>
      <rPr>
        <sz val="10"/>
        <rFont val="Arial"/>
        <family val="2"/>
      </rPr>
      <t>CK used for current measurements (see current notes)</t>
    </r>
  </si>
  <si>
    <r>
      <t>t</t>
    </r>
    <r>
      <rPr>
        <sz val="10"/>
        <rFont val="Arial"/>
        <family val="2"/>
      </rPr>
      <t>RRD</t>
    </r>
  </si>
  <si>
    <r>
      <t>t</t>
    </r>
    <r>
      <rPr>
        <sz val="10"/>
        <rFont val="Arial"/>
        <family val="2"/>
      </rPr>
      <t>RC</t>
    </r>
  </si>
  <si>
    <r>
      <t>t</t>
    </r>
    <r>
      <rPr>
        <sz val="10"/>
        <rFont val="Arial"/>
        <family val="2"/>
      </rPr>
      <t>RAS</t>
    </r>
  </si>
  <si>
    <r>
      <t>t</t>
    </r>
    <r>
      <rPr>
        <sz val="10"/>
        <rFont val="Arial"/>
        <family val="2"/>
      </rPr>
      <t>REFI</t>
    </r>
  </si>
  <si>
    <r>
      <t xml:space="preserve">Minimum </t>
    </r>
    <r>
      <rPr>
        <vertAlign val="superscript"/>
        <sz val="10"/>
        <rFont val="Arial"/>
        <family val="2"/>
      </rPr>
      <t>t</t>
    </r>
    <r>
      <rPr>
        <sz val="10"/>
        <rFont val="Arial"/>
        <family val="2"/>
      </rPr>
      <t>CK cycle rate</t>
    </r>
  </si>
  <si>
    <r>
      <t xml:space="preserve">Maximum </t>
    </r>
    <r>
      <rPr>
        <vertAlign val="superscript"/>
        <sz val="10"/>
        <rFont val="Arial"/>
        <family val="2"/>
      </rPr>
      <t>t</t>
    </r>
    <r>
      <rPr>
        <sz val="10"/>
        <rFont val="Arial"/>
        <family val="2"/>
      </rPr>
      <t>CK cycle rate</t>
    </r>
  </si>
  <si>
    <r>
      <t>Maximum V</t>
    </r>
    <r>
      <rPr>
        <sz val="8"/>
        <rFont val="Arial"/>
        <family val="2"/>
      </rPr>
      <t>CC</t>
    </r>
  </si>
  <si>
    <r>
      <t>Minimum V</t>
    </r>
    <r>
      <rPr>
        <sz val="8"/>
        <rFont val="Arial"/>
        <family val="2"/>
      </rPr>
      <t>CC</t>
    </r>
  </si>
  <si>
    <r>
      <t>t</t>
    </r>
    <r>
      <rPr>
        <sz val="10"/>
        <rFont val="Arial"/>
        <family val="2"/>
      </rPr>
      <t>RFC(min)</t>
    </r>
  </si>
  <si>
    <t>IDD0</t>
  </si>
  <si>
    <t>IDD2N</t>
  </si>
  <si>
    <t>IDD3P</t>
  </si>
  <si>
    <t>IDD3N</t>
  </si>
  <si>
    <t>IDD4R</t>
  </si>
  <si>
    <t>IDD4W</t>
  </si>
  <si>
    <t>IDD5A</t>
  </si>
  <si>
    <r>
      <t>t</t>
    </r>
    <r>
      <rPr>
        <sz val="11"/>
        <rFont val="Arial"/>
        <family val="2"/>
      </rPr>
      <t>CK used for current measurements (see current notes)</t>
    </r>
  </si>
  <si>
    <r>
      <t>t</t>
    </r>
    <r>
      <rPr>
        <sz val="11"/>
        <rFont val="Arial"/>
        <family val="2"/>
      </rPr>
      <t>RRD</t>
    </r>
  </si>
  <si>
    <r>
      <t>t</t>
    </r>
    <r>
      <rPr>
        <sz val="11"/>
        <rFont val="Arial"/>
        <family val="2"/>
      </rPr>
      <t>RC</t>
    </r>
  </si>
  <si>
    <r>
      <t>t</t>
    </r>
    <r>
      <rPr>
        <sz val="11"/>
        <rFont val="Arial"/>
        <family val="2"/>
      </rPr>
      <t>RAS</t>
    </r>
  </si>
  <si>
    <r>
      <t>t</t>
    </r>
    <r>
      <rPr>
        <sz val="11"/>
        <rFont val="Arial"/>
        <family val="2"/>
      </rPr>
      <t>RAS used for IDD0 calculation</t>
    </r>
  </si>
  <si>
    <r>
      <t>t</t>
    </r>
    <r>
      <rPr>
        <sz val="11"/>
        <rFont val="Arial"/>
        <family val="2"/>
      </rPr>
      <t>RFC (MIN)</t>
    </r>
  </si>
  <si>
    <r>
      <t>t</t>
    </r>
    <r>
      <rPr>
        <sz val="11"/>
        <rFont val="Arial"/>
        <family val="2"/>
      </rPr>
      <t>REFI</t>
    </r>
  </si>
  <si>
    <r>
      <t>t</t>
    </r>
    <r>
      <rPr>
        <sz val="11"/>
        <rFont val="Arial"/>
        <family val="2"/>
      </rPr>
      <t>CK  (MIN)</t>
    </r>
  </si>
  <si>
    <r>
      <t xml:space="preserve">Minimum </t>
    </r>
    <r>
      <rPr>
        <vertAlign val="superscript"/>
        <sz val="11"/>
        <rFont val="Arial"/>
        <family val="2"/>
      </rPr>
      <t>t</t>
    </r>
    <r>
      <rPr>
        <sz val="11"/>
        <rFont val="Arial"/>
        <family val="2"/>
      </rPr>
      <t>CK cycle rate</t>
    </r>
  </si>
  <si>
    <r>
      <t>t</t>
    </r>
    <r>
      <rPr>
        <sz val="11"/>
        <rFont val="Arial"/>
        <family val="2"/>
      </rPr>
      <t>CK (MAX)</t>
    </r>
  </si>
  <si>
    <r>
      <t xml:space="preserve">Maximum </t>
    </r>
    <r>
      <rPr>
        <vertAlign val="superscript"/>
        <sz val="11"/>
        <rFont val="Arial"/>
        <family val="2"/>
      </rPr>
      <t>t</t>
    </r>
    <r>
      <rPr>
        <sz val="11"/>
        <rFont val="Arial"/>
        <family val="2"/>
      </rPr>
      <t>CK cycle rate</t>
    </r>
  </si>
  <si>
    <t>must be 0% for a 1-rank system</t>
  </si>
  <si>
    <r>
      <t>Power Scaled for Actual System Conditions (DRAM Usage, CK Frequency, and V</t>
    </r>
    <r>
      <rPr>
        <b/>
        <sz val="8"/>
        <color indexed="9"/>
        <rFont val="Arial"/>
        <family val="2"/>
      </rPr>
      <t>CC)</t>
    </r>
  </si>
  <si>
    <t>µs</t>
  </si>
  <si>
    <r>
      <t>t</t>
    </r>
    <r>
      <rPr>
        <sz val="11"/>
        <rFont val="Arial"/>
        <family val="2"/>
      </rPr>
      <t>RRDsch</t>
    </r>
  </si>
  <si>
    <t>-25</t>
  </si>
  <si>
    <t>dramsupport@micron.com</t>
  </si>
  <si>
    <t>2Gb</t>
  </si>
  <si>
    <t>4Gb</t>
  </si>
  <si>
    <t>-187E</t>
  </si>
  <si>
    <t>-187</t>
  </si>
  <si>
    <t>-15E</t>
  </si>
  <si>
    <t>DDR3 Spec tab (ALL MUST BE VERIFIED FOR A SPECIFIC DRAM DATA SHEET)</t>
  </si>
  <si>
    <t>Total DDR3 SDRAM Power</t>
  </si>
  <si>
    <t>Maximum precharge power-down standby current(Slow Exit)</t>
  </si>
  <si>
    <t xml:space="preserve">Maximum active power-down standby current </t>
  </si>
  <si>
    <t>Maximum precharge power-down standby current(Fast Exit)</t>
  </si>
  <si>
    <t>IDD2P(slow)</t>
  </si>
  <si>
    <t>IDD2N(fast)</t>
  </si>
  <si>
    <t>0:Slow</t>
  </si>
  <si>
    <t>1:Fast</t>
  </si>
  <si>
    <t>Mode Register bit 12: Precharge PD Exit Mode</t>
  </si>
  <si>
    <r>
      <t>I</t>
    </r>
    <r>
      <rPr>
        <sz val="9"/>
        <rFont val="Arial"/>
        <family val="2"/>
      </rPr>
      <t>DD</t>
    </r>
    <r>
      <rPr>
        <sz val="11"/>
        <rFont val="Arial"/>
        <family val="2"/>
      </rPr>
      <t>0</t>
    </r>
  </si>
  <si>
    <r>
      <t>I</t>
    </r>
    <r>
      <rPr>
        <sz val="9"/>
        <rFont val="Arial"/>
        <family val="2"/>
      </rPr>
      <t>DD</t>
    </r>
    <r>
      <rPr>
        <sz val="11"/>
        <rFont val="Arial"/>
        <family val="2"/>
      </rPr>
      <t>2P (Slow)</t>
    </r>
  </si>
  <si>
    <r>
      <t>I</t>
    </r>
    <r>
      <rPr>
        <sz val="9"/>
        <rFont val="Arial"/>
        <family val="2"/>
      </rPr>
      <t>DD</t>
    </r>
    <r>
      <rPr>
        <sz val="11"/>
        <rFont val="Arial"/>
        <family val="2"/>
      </rPr>
      <t>2P (Fast)</t>
    </r>
  </si>
  <si>
    <r>
      <t>I</t>
    </r>
    <r>
      <rPr>
        <sz val="9"/>
        <rFont val="Arial"/>
        <family val="2"/>
      </rPr>
      <t>DD</t>
    </r>
    <r>
      <rPr>
        <sz val="11"/>
        <rFont val="Arial"/>
        <family val="2"/>
      </rPr>
      <t>2N</t>
    </r>
  </si>
  <si>
    <r>
      <t>I</t>
    </r>
    <r>
      <rPr>
        <sz val="9"/>
        <rFont val="Arial"/>
        <family val="2"/>
      </rPr>
      <t>DD</t>
    </r>
    <r>
      <rPr>
        <sz val="11"/>
        <rFont val="Arial"/>
        <family val="2"/>
      </rPr>
      <t>3P</t>
    </r>
  </si>
  <si>
    <r>
      <t>I</t>
    </r>
    <r>
      <rPr>
        <sz val="9"/>
        <rFont val="Arial"/>
        <family val="2"/>
      </rPr>
      <t>DD</t>
    </r>
    <r>
      <rPr>
        <sz val="11"/>
        <rFont val="Arial"/>
        <family val="2"/>
      </rPr>
      <t>3N</t>
    </r>
  </si>
  <si>
    <r>
      <t>I</t>
    </r>
    <r>
      <rPr>
        <sz val="9"/>
        <rFont val="Arial"/>
        <family val="2"/>
      </rPr>
      <t>DD</t>
    </r>
    <r>
      <rPr>
        <sz val="11"/>
        <rFont val="Arial"/>
        <family val="2"/>
      </rPr>
      <t>4R</t>
    </r>
  </si>
  <si>
    <r>
      <t>I</t>
    </r>
    <r>
      <rPr>
        <sz val="9"/>
        <rFont val="Arial"/>
        <family val="2"/>
      </rPr>
      <t>DD</t>
    </r>
    <r>
      <rPr>
        <sz val="11"/>
        <rFont val="Arial"/>
        <family val="2"/>
      </rPr>
      <t>4W</t>
    </r>
  </si>
  <si>
    <r>
      <t>I</t>
    </r>
    <r>
      <rPr>
        <sz val="9"/>
        <rFont val="Arial"/>
        <family val="2"/>
      </rPr>
      <t>DD</t>
    </r>
    <r>
      <rPr>
        <sz val="11"/>
        <rFont val="Arial"/>
        <family val="2"/>
      </rPr>
      <t>5A</t>
    </r>
  </si>
  <si>
    <r>
      <t>t</t>
    </r>
    <r>
      <rPr>
        <sz val="11"/>
        <rFont val="Arial"/>
        <family val="2"/>
      </rPr>
      <t>CK (MIN)</t>
    </r>
  </si>
  <si>
    <r>
      <t>Maximum V</t>
    </r>
    <r>
      <rPr>
        <sz val="9"/>
        <rFont val="Arial"/>
        <family val="2"/>
      </rPr>
      <t>DD</t>
    </r>
  </si>
  <si>
    <r>
      <t>Minimum V</t>
    </r>
    <r>
      <rPr>
        <sz val="9"/>
        <rFont val="Arial"/>
        <family val="2"/>
      </rPr>
      <t>DD</t>
    </r>
  </si>
  <si>
    <r>
      <t>Maximum V</t>
    </r>
    <r>
      <rPr>
        <sz val="9"/>
        <rFont val="Arial"/>
        <family val="2"/>
      </rPr>
      <t>CC</t>
    </r>
  </si>
  <si>
    <r>
      <t>Minimum V</t>
    </r>
    <r>
      <rPr>
        <sz val="9"/>
        <rFont val="Arial"/>
        <family val="2"/>
      </rPr>
      <t>CC</t>
    </r>
  </si>
  <si>
    <r>
      <t>I</t>
    </r>
    <r>
      <rPr>
        <sz val="9"/>
        <rFont val="Arial"/>
        <family val="2"/>
      </rPr>
      <t>DD</t>
    </r>
    <r>
      <rPr>
        <sz val="11"/>
        <rFont val="Arial"/>
        <family val="2"/>
      </rPr>
      <t>2P</t>
    </r>
  </si>
  <si>
    <r>
      <t>t</t>
    </r>
    <r>
      <rPr>
        <sz val="11"/>
        <rFont val="Arial"/>
        <family val="2"/>
      </rPr>
      <t xml:space="preserve">CK </t>
    </r>
    <r>
      <rPr>
        <sz val="11"/>
        <rFont val="Arial"/>
        <family val="2"/>
      </rPr>
      <t>(MAX)</t>
    </r>
  </si>
  <si>
    <r>
      <t>t</t>
    </r>
    <r>
      <rPr>
        <sz val="11"/>
        <rFont val="Arial"/>
        <family val="2"/>
      </rPr>
      <t>RAS used for I</t>
    </r>
    <r>
      <rPr>
        <sz val="9"/>
        <rFont val="Arial"/>
        <family val="2"/>
      </rPr>
      <t>DD</t>
    </r>
    <r>
      <rPr>
        <sz val="11"/>
        <rFont val="Arial"/>
        <family val="2"/>
      </rPr>
      <t>0 calculation</t>
    </r>
  </si>
  <si>
    <r>
      <t>System V</t>
    </r>
    <r>
      <rPr>
        <sz val="9"/>
        <rFont val="Arial"/>
        <family val="2"/>
      </rPr>
      <t>DD</t>
    </r>
  </si>
  <si>
    <r>
      <t>Enter V</t>
    </r>
    <r>
      <rPr>
        <b/>
        <sz val="8"/>
        <rFont val="Arial"/>
        <family val="2"/>
      </rPr>
      <t>DD</t>
    </r>
    <r>
      <rPr>
        <b/>
        <sz val="10"/>
        <rFont val="Arial"/>
        <family val="2"/>
      </rPr>
      <t xml:space="preserve"> tolerance range in rows 6–7.</t>
    </r>
  </si>
  <si>
    <r>
      <t>Enter I</t>
    </r>
    <r>
      <rPr>
        <b/>
        <sz val="8"/>
        <rFont val="Arial"/>
        <family val="2"/>
      </rPr>
      <t>DD</t>
    </r>
    <r>
      <rPr>
        <b/>
        <sz val="10"/>
        <rFont val="Arial"/>
        <family val="2"/>
      </rPr>
      <t xml:space="preserve"> values for the speed grade under investigation in rows 9–26. Note that there are entries for both x4/x8 devices, as well as x16. Also note the two separate entries for I</t>
    </r>
    <r>
      <rPr>
        <b/>
        <sz val="8"/>
        <rFont val="Arial"/>
        <family val="2"/>
      </rPr>
      <t>DD</t>
    </r>
    <r>
      <rPr>
        <b/>
        <sz val="10"/>
        <rFont val="Arial"/>
        <family val="2"/>
      </rPr>
      <t>3P, depending on the mode register setting.</t>
    </r>
  </si>
  <si>
    <r>
      <t>Timing restrictions in rows 28–36 are entered from the data sheet. These determine the test conditions for the I</t>
    </r>
    <r>
      <rPr>
        <b/>
        <sz val="8"/>
        <rFont val="Arial"/>
        <family val="2"/>
      </rPr>
      <t>DD</t>
    </r>
    <r>
      <rPr>
        <b/>
        <sz val="10"/>
        <rFont val="Arial"/>
        <family val="2"/>
      </rPr>
      <t xml:space="preserve"> values and restrictions of normal device operation.</t>
    </r>
  </si>
  <si>
    <r>
      <t>Row 7 is the actual V</t>
    </r>
    <r>
      <rPr>
        <b/>
        <sz val="8"/>
        <rFont val="Arial"/>
        <family val="2"/>
      </rPr>
      <t>DD</t>
    </r>
    <r>
      <rPr>
        <b/>
        <sz val="10"/>
        <rFont val="Arial"/>
        <family val="2"/>
      </rPr>
      <t xml:space="preserve"> the system is operating at. It is usually set to nominal conditions.</t>
    </r>
  </si>
  <si>
    <t>Row 7 selects which DRAM density.</t>
  </si>
  <si>
    <t>Row 9 selects the starting speed grade.</t>
  </si>
  <si>
    <t>Row 8 selects the number of DQs.</t>
  </si>
  <si>
    <r>
      <t>Row 16 is the percentage of time that all that banks are precharged when the device is in power-down state. This is the percentage of time when the DRAM is using I</t>
    </r>
    <r>
      <rPr>
        <b/>
        <sz val="8"/>
        <rFont val="Arial"/>
        <family val="2"/>
      </rPr>
      <t>DD</t>
    </r>
    <r>
      <rPr>
        <b/>
        <sz val="10"/>
        <rFont val="Arial"/>
        <family val="2"/>
      </rPr>
      <t>2P vs. I</t>
    </r>
    <r>
      <rPr>
        <b/>
        <sz val="8"/>
        <rFont val="Arial"/>
        <family val="2"/>
      </rPr>
      <t>DD</t>
    </r>
    <r>
      <rPr>
        <b/>
        <sz val="10"/>
        <rFont val="Arial"/>
        <family val="2"/>
      </rPr>
      <t>2F.</t>
    </r>
  </si>
  <si>
    <r>
      <t>Row 17 is the percentage of DRAM active time when CKE is LOW and the device is in the power-down state. This is the percentage of active time when the DRAM is using I</t>
    </r>
    <r>
      <rPr>
        <b/>
        <sz val="8"/>
        <rFont val="Arial"/>
        <family val="2"/>
      </rPr>
      <t>DD</t>
    </r>
    <r>
      <rPr>
        <b/>
        <sz val="10"/>
        <rFont val="Arial"/>
        <family val="2"/>
      </rPr>
      <t>3P current vs. I</t>
    </r>
    <r>
      <rPr>
        <b/>
        <sz val="8"/>
        <rFont val="Arial"/>
        <family val="2"/>
      </rPr>
      <t>DD</t>
    </r>
    <r>
      <rPr>
        <b/>
        <sz val="10"/>
        <rFont val="Arial"/>
        <family val="2"/>
      </rPr>
      <t>3N.</t>
    </r>
  </si>
  <si>
    <r>
      <t>Row 19 is the average time between ACT commands to the DRAM.  Under I</t>
    </r>
    <r>
      <rPr>
        <b/>
        <sz val="8"/>
        <rFont val="Arial"/>
        <family val="2"/>
      </rPr>
      <t>DD</t>
    </r>
    <r>
      <rPr>
        <b/>
        <sz val="10"/>
        <rFont val="Arial"/>
        <family val="2"/>
      </rPr>
      <t>0 or I</t>
    </r>
    <r>
      <rPr>
        <b/>
        <sz val="8"/>
        <rFont val="Arial"/>
        <family val="2"/>
      </rPr>
      <t>DD</t>
    </r>
    <r>
      <rPr>
        <b/>
        <sz val="10"/>
        <rFont val="Arial"/>
        <family val="2"/>
      </rPr>
      <t xml:space="preserve">1 conditions, this would be equal to </t>
    </r>
    <r>
      <rPr>
        <b/>
        <vertAlign val="superscript"/>
        <sz val="10"/>
        <rFont val="Arial"/>
        <family val="2"/>
      </rPr>
      <t>t</t>
    </r>
    <r>
      <rPr>
        <b/>
        <sz val="10"/>
        <rFont val="Arial"/>
        <family val="2"/>
      </rPr>
      <t xml:space="preserve">RC. If the DRAM is in interleaving bursts, it may be less than </t>
    </r>
    <r>
      <rPr>
        <b/>
        <vertAlign val="superscript"/>
        <sz val="10"/>
        <rFont val="Arial"/>
        <family val="2"/>
      </rPr>
      <t>t</t>
    </r>
    <r>
      <rPr>
        <b/>
        <sz val="10"/>
        <rFont val="Arial"/>
        <family val="2"/>
      </rPr>
      <t xml:space="preserve">RC. </t>
    </r>
    <r>
      <rPr>
        <b/>
        <sz val="10"/>
        <color indexed="10"/>
        <rFont val="Arial"/>
        <family val="2"/>
      </rPr>
      <t>This value is now calculated off of page hit rate. Entering a number here will override the automatic calculation.</t>
    </r>
  </si>
  <si>
    <t>No inputs are required for this tab. It contains a summary of the power used by the DRAM. The power is broken out between:
  — Power to read/write data to and from the DRAM
  — Power to activate the rows
  — Background power for standby modes and refresh</t>
  </si>
  <si>
    <r>
      <t>I</t>
    </r>
    <r>
      <rPr>
        <sz val="9"/>
        <rFont val="Arial"/>
        <family val="2"/>
      </rPr>
      <t>DD</t>
    </r>
    <r>
      <rPr>
        <sz val="11"/>
        <rFont val="Arial"/>
        <family val="2"/>
      </rPr>
      <t>5B</t>
    </r>
  </si>
  <si>
    <t xml:space="preserve"> </t>
  </si>
  <si>
    <t>-125</t>
  </si>
  <si>
    <t>-125E</t>
  </si>
  <si>
    <t>-107</t>
  </si>
  <si>
    <t>-107E</t>
  </si>
  <si>
    <t>-093</t>
  </si>
  <si>
    <t>-093E</t>
  </si>
  <si>
    <t xml:space="preserve"> na</t>
  </si>
  <si>
    <t>Rz1=</t>
  </si>
  <si>
    <t>Rs1=</t>
  </si>
  <si>
    <t>RTTuC=</t>
  </si>
  <si>
    <t>RTTdC=</t>
  </si>
  <si>
    <t>RTTu2=</t>
  </si>
  <si>
    <t>RTTd2=</t>
  </si>
  <si>
    <t>RzC=</t>
  </si>
  <si>
    <t>RTTd1=</t>
  </si>
  <si>
    <t>RTTu1=</t>
  </si>
  <si>
    <t>RTTC =   (mW)</t>
  </si>
  <si>
    <t>Rz =   (mW)</t>
  </si>
  <si>
    <t>VDDq=</t>
  </si>
  <si>
    <t>Rs1 =   (mW)</t>
  </si>
  <si>
    <t>Rs2=   (mW)</t>
  </si>
  <si>
    <t>Rs2=</t>
  </si>
  <si>
    <t>Rs1=   (mW)</t>
  </si>
  <si>
    <t>RTTd2 =   (mW)</t>
  </si>
  <si>
    <t>RTTd1 =   (mW)</t>
  </si>
  <si>
    <t>IRZC</t>
  </si>
  <si>
    <t>IRTTpd1</t>
  </si>
  <si>
    <t>IRTTpu1</t>
  </si>
  <si>
    <t>IRS1</t>
  </si>
  <si>
    <t xml:space="preserve">N3=      (mV)  </t>
  </si>
  <si>
    <t xml:space="preserve">N1=      (mV)  </t>
  </si>
  <si>
    <t xml:space="preserve">N2=      (mV)  </t>
  </si>
  <si>
    <t>This value is the termination power plus module series resistor power per DQ.   The calculator to the right will estimate and populate the entries to the left</t>
  </si>
  <si>
    <t>This value is the DRAM I/O power plus module series resistor power per DQ.   The calculator to the right will estimate and populate the entries to the left</t>
  </si>
  <si>
    <r>
      <t xml:space="preserve">DDR3 SDRAM termination power per individual DQ during </t>
    </r>
    <r>
      <rPr>
        <sz val="11"/>
        <color indexed="10"/>
        <rFont val="Arial"/>
        <family val="2"/>
      </rPr>
      <t>WRITE</t>
    </r>
    <r>
      <rPr>
        <sz val="11"/>
        <rFont val="Arial"/>
        <family val="2"/>
      </rPr>
      <t>s to this DRAM</t>
    </r>
  </si>
  <si>
    <r>
      <t>DDR3 SDRAM output power per individual DQ on this DRAM during</t>
    </r>
    <r>
      <rPr>
        <sz val="11"/>
        <color indexed="10"/>
        <rFont val="Arial"/>
        <family val="2"/>
      </rPr>
      <t xml:space="preserve"> READ</t>
    </r>
    <r>
      <rPr>
        <sz val="11"/>
        <color indexed="8"/>
        <rFont val="Arial"/>
        <family val="2"/>
      </rPr>
      <t>s from this DRAM</t>
    </r>
  </si>
  <si>
    <r>
      <t xml:space="preserve">DDR3 SDRAM termination power per individual DQ during </t>
    </r>
    <r>
      <rPr>
        <sz val="11"/>
        <color indexed="10"/>
        <rFont val="Arial"/>
        <family val="2"/>
      </rPr>
      <t>READ</t>
    </r>
    <r>
      <rPr>
        <sz val="11"/>
        <rFont val="Arial"/>
        <family val="2"/>
      </rPr>
      <t>s from other DRAM</t>
    </r>
  </si>
  <si>
    <r>
      <t xml:space="preserve">DDR3 SDRAM termination power per individual DQ during </t>
    </r>
    <r>
      <rPr>
        <sz val="11"/>
        <color indexed="10"/>
        <rFont val="Arial"/>
        <family val="2"/>
      </rPr>
      <t>WRITE</t>
    </r>
    <r>
      <rPr>
        <sz val="11"/>
        <rFont val="Arial"/>
        <family val="2"/>
      </rPr>
      <t>s to other DRAM</t>
    </r>
  </si>
  <si>
    <t>Enter values in dark green boxes below</t>
  </si>
  <si>
    <t>Calculated values in light green boxes below</t>
  </si>
  <si>
    <t>READ  I/O  Power</t>
  </si>
  <si>
    <t>WRITE  I/O  Power</t>
  </si>
  <si>
    <t>ratio of reads to writes</t>
  </si>
  <si>
    <t>The above is calculated from page hit rate read/write bus utilization. No entry is necessary.</t>
  </si>
  <si>
    <r>
      <t>Row 10</t>
    </r>
    <r>
      <rPr>
        <b/>
        <sz val="10"/>
        <color indexed="10"/>
        <rFont val="Arial"/>
        <family val="2"/>
      </rPr>
      <t>*</t>
    </r>
    <r>
      <rPr>
        <b/>
        <sz val="10"/>
        <rFont val="Arial"/>
        <family val="2"/>
      </rPr>
      <t xml:space="preserve"> is the amount of power that is </t>
    </r>
    <r>
      <rPr>
        <b/>
        <sz val="10"/>
        <color indexed="8"/>
        <rFont val="Arial"/>
        <family val="2"/>
      </rPr>
      <t>drawn per output while</t>
    </r>
    <r>
      <rPr>
        <b/>
        <sz val="10"/>
        <color indexed="10"/>
        <rFont val="Arial"/>
        <family val="2"/>
      </rPr>
      <t xml:space="preserve"> driving read data </t>
    </r>
    <r>
      <rPr>
        <b/>
        <sz val="10"/>
        <color indexed="8"/>
        <rFont val="Arial"/>
        <family val="2"/>
      </rPr>
      <t xml:space="preserve">from itself. </t>
    </r>
  </si>
  <si>
    <r>
      <t>Row 11</t>
    </r>
    <r>
      <rPr>
        <b/>
        <sz val="10"/>
        <color indexed="10"/>
        <rFont val="Arial"/>
        <family val="2"/>
      </rPr>
      <t>*</t>
    </r>
    <r>
      <rPr>
        <b/>
        <sz val="10"/>
        <rFont val="Arial"/>
        <family val="2"/>
      </rPr>
      <t xml:space="preserve"> is the amount of power that is drawn per outpu</t>
    </r>
    <r>
      <rPr>
        <b/>
        <sz val="10"/>
        <color indexed="8"/>
        <rFont val="Arial"/>
        <family val="2"/>
      </rPr>
      <t>t while</t>
    </r>
    <r>
      <rPr>
        <b/>
        <sz val="10"/>
        <color indexed="10"/>
        <rFont val="Arial"/>
        <family val="2"/>
      </rPr>
      <t xml:space="preserve"> terminating write data</t>
    </r>
    <r>
      <rPr>
        <b/>
        <sz val="10"/>
        <rFont val="Arial"/>
        <family val="2"/>
      </rPr>
      <t xml:space="preserve"> to itself. </t>
    </r>
  </si>
  <si>
    <r>
      <t>Row 12</t>
    </r>
    <r>
      <rPr>
        <b/>
        <sz val="10"/>
        <color indexed="10"/>
        <rFont val="Arial"/>
        <family val="2"/>
      </rPr>
      <t>*</t>
    </r>
    <r>
      <rPr>
        <b/>
        <sz val="10"/>
        <rFont val="Arial"/>
        <family val="2"/>
      </rPr>
      <t xml:space="preserve"> is the amount of power that is drawn per DQ while </t>
    </r>
    <r>
      <rPr>
        <b/>
        <sz val="10"/>
        <color indexed="10"/>
        <rFont val="Arial"/>
        <family val="2"/>
      </rPr>
      <t>terminating read data</t>
    </r>
    <r>
      <rPr>
        <b/>
        <sz val="10"/>
        <rFont val="Arial"/>
        <family val="2"/>
      </rPr>
      <t xml:space="preserve"> </t>
    </r>
    <r>
      <rPr>
        <b/>
        <sz val="10"/>
        <color indexed="10"/>
        <rFont val="Arial"/>
        <family val="2"/>
      </rPr>
      <t>at different DRAM</t>
    </r>
    <r>
      <rPr>
        <b/>
        <sz val="10"/>
        <color indexed="8"/>
        <rFont val="Arial"/>
        <family val="2"/>
      </rPr>
      <t xml:space="preserve"> (two or more loads). </t>
    </r>
  </si>
  <si>
    <r>
      <t>Row 13</t>
    </r>
    <r>
      <rPr>
        <b/>
        <sz val="10"/>
        <color indexed="10"/>
        <rFont val="Arial"/>
        <family val="2"/>
      </rPr>
      <t>*</t>
    </r>
    <r>
      <rPr>
        <b/>
        <sz val="10"/>
        <rFont val="Arial"/>
        <family val="2"/>
      </rPr>
      <t xml:space="preserve"> is the amount of power that is drawn per DQ while </t>
    </r>
    <r>
      <rPr>
        <b/>
        <sz val="10"/>
        <color indexed="10"/>
        <rFont val="Arial"/>
        <family val="2"/>
      </rPr>
      <t>terminating write data at different DRAM</t>
    </r>
    <r>
      <rPr>
        <b/>
        <sz val="10"/>
        <rFont val="Arial"/>
        <family val="2"/>
      </rPr>
      <t xml:space="preserve"> (two or more loads). </t>
    </r>
  </si>
  <si>
    <r>
      <t xml:space="preserve"> </t>
    </r>
    <r>
      <rPr>
        <b/>
        <i/>
        <sz val="10"/>
        <color indexed="8"/>
        <rFont val="Arial"/>
        <family val="2"/>
      </rPr>
      <t xml:space="preserve">    *These are system-dependent and must be calculated. The value may be approximated with a DC calculation (calculator                        provided) or more accurately determined using SPICE models.</t>
    </r>
  </si>
  <si>
    <t xml:space="preserve">                                         Do Not Go Below This Box                                                            Do Not Go Below This Box                                                           Do Not Go Below This Box                                                           Do Not Go Below This Box                                                             Do Not Go Below This Box                                                           Do Not Go Below This Box                                                           Do Not Go Below This Box                                                           Do Not Go Below This Box                  </t>
  </si>
  <si>
    <t>Power Based on Data Sheet Test Conditions and Maximum Limits</t>
  </si>
  <si>
    <t>2nd rank DRAM Power Consumed</t>
  </si>
  <si>
    <t>PRE_PDN</t>
  </si>
  <si>
    <t>PRE_STBY</t>
  </si>
  <si>
    <t>ACT_PDN</t>
  </si>
  <si>
    <t>Psys Power Consumption Summary</t>
  </si>
  <si>
    <t>ACT_STBY</t>
  </si>
  <si>
    <t>REF</t>
  </si>
  <si>
    <t>ACT</t>
  </si>
  <si>
    <t>WR</t>
  </si>
  <si>
    <t>RD</t>
  </si>
  <si>
    <t>READ I/O</t>
  </si>
  <si>
    <t>Write ODT</t>
  </si>
  <si>
    <t>TERM 2nd rank</t>
  </si>
  <si>
    <t>Calculated values in light green.</t>
  </si>
  <si>
    <t>8Gb</t>
  </si>
  <si>
    <t>16Gb</t>
  </si>
  <si>
    <t>na</t>
  </si>
  <si>
    <r>
      <t>Power is calculated based upon data sheet test conditions and maximum limits, scaled for used conditions an actual V</t>
    </r>
    <r>
      <rPr>
        <sz val="9"/>
        <rFont val="Arial"/>
        <family val="2"/>
      </rPr>
      <t>DD</t>
    </r>
    <r>
      <rPr>
        <sz val="11"/>
        <rFont val="Arial"/>
        <family val="2"/>
      </rPr>
      <t>.  and finally scaled for the frequency being used. All parameters are calculated and require no user input.</t>
    </r>
  </si>
  <si>
    <t>Average clocks between column</t>
  </si>
  <si>
    <t>Copyright © 2007 Micron Semiconductor Products, Inc.</t>
  </si>
  <si>
    <t>DDR3 or DDR3L</t>
  </si>
  <si>
    <t>DDR3</t>
  </si>
  <si>
    <t>DDR3L</t>
  </si>
  <si>
    <t>Max VCC</t>
  </si>
  <si>
    <t>Min VCC</t>
  </si>
  <si>
    <t>DDR3_Power_Calc.XLSM</t>
  </si>
  <si>
    <t>Calculates the power consumed by a DDR3 and DDR3L SDRAM based on system use parameters and the device data sheet.</t>
  </si>
  <si>
    <t>Row 11 selects whether fast or slow exit is used for power-down exit.</t>
  </si>
  <si>
    <r>
      <t xml:space="preserve">DDR3 Spec tab </t>
    </r>
    <r>
      <rPr>
        <b/>
        <sz val="12"/>
        <color indexed="10"/>
        <rFont val="Arial"/>
        <family val="2"/>
      </rPr>
      <t>(ALL MUST BE ENTERED FOR SPECIFIC SYSTEM)</t>
    </r>
  </si>
  <si>
    <t>DDR3 Config  tab (ALL MUST BE ENTERED TO IDENTIFY DRAM TO BE USED FOR POWER CALCULATION)</t>
  </si>
  <si>
    <t/>
  </si>
  <si>
    <t xml:space="preserve">Row 10 selects low voltage or nominal.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</si>
</sst>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
    <numFmt numFmtId="166" formatCode="mmmm\ d\,\ yyyy"/>
    <numFmt numFmtId="167" formatCode="_(* #,##0.0_);_(* \(#,##0.0\);_(* &quot;-&quot;??_);_(@_)"/>
    <numFmt numFmtId="168" formatCode="_(* #,##0_);_(* \(#,##0\);_(* &quot;-&quot;??_);_(@_)"/>
    <numFmt numFmtId="169" formatCode="0.000"/>
  </numFmts>
  <fonts count="50">
    <font>
      <sz val="10"/>
      <name val="Arial"/>
    </font>
    <font>
      <sz val="11"/>
      <color theme="1"/>
      <name val="Calibri"/>
      <family val="2"/>
      <scheme val="minor"/>
    </font>
    <font>
      <sz val="10"/>
      <name val="Arial"/>
      <family val="2"/>
    </font>
    <font>
      <b/>
      <sz val="10"/>
      <name val="Arial"/>
      <family val="2"/>
    </font>
    <font>
      <b/>
      <sz val="10"/>
      <color indexed="9"/>
      <name val="Arial"/>
      <family val="2"/>
    </font>
    <font>
      <sz val="10"/>
      <name val="Arial"/>
      <family val="2"/>
    </font>
    <font>
      <sz val="10"/>
      <name val="Frutiger 55 Roman"/>
      <family val="2"/>
    </font>
    <font>
      <b/>
      <sz val="10"/>
      <name val="Frutiger 55 Roman"/>
      <family val="2"/>
    </font>
    <font>
      <b/>
      <sz val="10"/>
      <color indexed="9"/>
      <name val="Frutiger 55 Roman"/>
      <family val="2"/>
    </font>
    <font>
      <u/>
      <sz val="10"/>
      <color indexed="12"/>
      <name val="Arial"/>
      <family val="2"/>
    </font>
    <font>
      <b/>
      <sz val="12"/>
      <name val="Arial"/>
      <family val="2"/>
    </font>
    <font>
      <b/>
      <sz val="12"/>
      <color indexed="10"/>
      <name val="Arial"/>
      <family val="2"/>
    </font>
    <font>
      <b/>
      <sz val="10"/>
      <color indexed="10"/>
      <name val="Arial"/>
      <family val="2"/>
    </font>
    <font>
      <b/>
      <i/>
      <sz val="10"/>
      <color indexed="10"/>
      <name val="Arial"/>
      <family val="2"/>
    </font>
    <font>
      <b/>
      <sz val="10"/>
      <color indexed="9"/>
      <name val="Arial"/>
      <family val="2"/>
    </font>
    <font>
      <sz val="10"/>
      <color indexed="8"/>
      <name val="Arial"/>
      <family val="2"/>
    </font>
    <font>
      <b/>
      <sz val="12"/>
      <color indexed="9"/>
      <name val="Arial"/>
      <family val="2"/>
    </font>
    <font>
      <b/>
      <sz val="10"/>
      <color indexed="8"/>
      <name val="Arial"/>
      <family val="2"/>
    </font>
    <font>
      <b/>
      <u/>
      <sz val="10"/>
      <color indexed="24"/>
      <name val="Arial"/>
      <family val="2"/>
    </font>
    <font>
      <b/>
      <sz val="10"/>
      <color indexed="24"/>
      <name val="Arial"/>
      <family val="2"/>
    </font>
    <font>
      <sz val="18"/>
      <color indexed="24"/>
      <name val="B Frutiger Bold"/>
    </font>
    <font>
      <sz val="14"/>
      <name val="B Frutiger Bold"/>
    </font>
    <font>
      <b/>
      <vertAlign val="superscript"/>
      <sz val="10"/>
      <name val="Arial"/>
      <family val="2"/>
    </font>
    <font>
      <u/>
      <sz val="18"/>
      <color indexed="24"/>
      <name val="Arial"/>
      <family val="2"/>
    </font>
    <font>
      <b/>
      <sz val="18"/>
      <color indexed="24"/>
      <name val="Arial"/>
      <family val="2"/>
    </font>
    <font>
      <b/>
      <sz val="11"/>
      <name val="Arial"/>
      <family val="2"/>
    </font>
    <font>
      <sz val="11"/>
      <name val="Arial"/>
      <family val="2"/>
    </font>
    <font>
      <b/>
      <sz val="11"/>
      <color indexed="9"/>
      <name val="Arial"/>
      <family val="2"/>
    </font>
    <font>
      <sz val="11"/>
      <color indexed="9"/>
      <name val="Arial"/>
      <family val="2"/>
    </font>
    <font>
      <sz val="8"/>
      <name val="Arial"/>
      <family val="2"/>
    </font>
    <font>
      <vertAlign val="superscript"/>
      <sz val="10"/>
      <name val="Arial"/>
      <family val="2"/>
    </font>
    <font>
      <vertAlign val="superscript"/>
      <sz val="11"/>
      <name val="Arial"/>
      <family val="2"/>
    </font>
    <font>
      <sz val="11"/>
      <color indexed="8"/>
      <name val="Arial"/>
      <family val="2"/>
    </font>
    <font>
      <sz val="11"/>
      <color indexed="10"/>
      <name val="Arial"/>
      <family val="2"/>
    </font>
    <font>
      <b/>
      <sz val="8"/>
      <color indexed="9"/>
      <name val="Arial"/>
      <family val="2"/>
    </font>
    <font>
      <sz val="10.5"/>
      <name val="Arial"/>
      <family val="2"/>
    </font>
    <font>
      <sz val="9"/>
      <name val="Arial"/>
      <family val="2"/>
    </font>
    <font>
      <sz val="18"/>
      <name val="Arial"/>
      <family val="2"/>
    </font>
    <font>
      <b/>
      <sz val="8"/>
      <name val="Arial"/>
      <family val="2"/>
    </font>
    <font>
      <b/>
      <sz val="9"/>
      <color indexed="9"/>
      <name val="Arial"/>
      <family val="2"/>
    </font>
    <font>
      <sz val="12"/>
      <name val="Arial"/>
      <family val="2"/>
    </font>
    <font>
      <b/>
      <i/>
      <sz val="10"/>
      <color indexed="8"/>
      <name val="Arial"/>
      <family val="2"/>
    </font>
    <font>
      <b/>
      <sz val="10"/>
      <color theme="0"/>
      <name val="Arial"/>
      <family val="2"/>
    </font>
    <font>
      <b/>
      <sz val="11"/>
      <color theme="1"/>
      <name val="Arial"/>
      <family val="2"/>
    </font>
    <font>
      <b/>
      <sz val="10"/>
      <color rgb="FFFF0000"/>
      <name val="Arial"/>
      <family val="2"/>
    </font>
    <font>
      <sz val="10"/>
      <color theme="0" tint="-0.34998626667073579"/>
      <name val="Arial"/>
      <family val="2"/>
    </font>
    <font>
      <b/>
      <sz val="11"/>
      <color theme="0"/>
      <name val="Arial"/>
      <family val="2"/>
    </font>
    <font>
      <b/>
      <sz val="12"/>
      <color rgb="FFFF0000"/>
      <name val="Arial"/>
      <family val="2"/>
    </font>
    <font>
      <sz val="10"/>
      <color rgb="FFFF0000"/>
      <name val="Frutiger 55 Roman"/>
      <family val="2"/>
    </font>
    <font>
      <b/>
      <sz val="7"/>
      <color rgb="FF2F2F2F"/>
      <name val="Segoe UI"/>
      <family val="2"/>
    </font>
  </fonts>
  <fills count="22">
    <fill>
      <patternFill patternType="none"/>
    </fill>
    <fill>
      <patternFill patternType="gray125"/>
    </fill>
    <fill>
      <patternFill patternType="solid">
        <fgColor indexed="57"/>
        <bgColor indexed="64"/>
      </patternFill>
    </fill>
    <fill>
      <patternFill patternType="solid">
        <fgColor indexed="44"/>
        <bgColor indexed="64"/>
      </patternFill>
    </fill>
    <fill>
      <patternFill patternType="solid">
        <fgColor indexed="24"/>
        <bgColor indexed="64"/>
      </patternFill>
    </fill>
    <fill>
      <patternFill patternType="solid">
        <fgColor indexed="25"/>
        <bgColor indexed="64"/>
      </patternFill>
    </fill>
    <fill>
      <patternFill patternType="solid">
        <fgColor indexed="22"/>
        <bgColor indexed="64"/>
      </patternFill>
    </fill>
    <fill>
      <patternFill patternType="solid">
        <fgColor indexed="9"/>
        <bgColor indexed="64"/>
      </patternFill>
    </fill>
    <fill>
      <patternFill patternType="solid">
        <fgColor indexed="8"/>
        <bgColor indexed="64"/>
      </patternFill>
    </fill>
    <fill>
      <patternFill patternType="solid">
        <fgColor rgb="FF006666"/>
        <bgColor indexed="64"/>
      </patternFill>
    </fill>
    <fill>
      <patternFill patternType="solid">
        <fgColor theme="0" tint="-0.14999847407452621"/>
        <bgColor indexed="64"/>
      </patternFill>
    </fill>
    <fill>
      <patternFill patternType="solid">
        <fgColor rgb="FFC9FF93"/>
        <bgColor indexed="64"/>
      </patternFill>
    </fill>
    <fill>
      <patternFill patternType="solid">
        <fgColor rgb="FFCCFF99"/>
        <bgColor indexed="64"/>
      </patternFill>
    </fill>
    <fill>
      <patternFill patternType="solid">
        <fgColor theme="0" tint="-0.34998626667073579"/>
        <bgColor indexed="64"/>
      </patternFill>
    </fill>
    <fill>
      <patternFill patternType="solid">
        <fgColor rgb="FF492F92"/>
        <bgColor indexed="64"/>
      </patternFill>
    </fill>
    <fill>
      <patternFill patternType="solid">
        <fgColor rgb="FF072A5E"/>
        <bgColor indexed="64"/>
      </patternFill>
    </fill>
    <fill>
      <patternFill patternType="solid">
        <fgColor rgb="FFF68933"/>
        <bgColor indexed="64"/>
      </patternFill>
    </fill>
    <fill>
      <patternFill patternType="solid">
        <fgColor rgb="FFEE3424"/>
        <bgColor indexed="64"/>
      </patternFill>
    </fill>
    <fill>
      <patternFill patternType="solid">
        <fgColor rgb="FFFFD1D1"/>
      </patternFill>
    </fill>
    <fill>
      <patternFill patternType="solid">
        <fgColor rgb="FFFCDDC4"/>
        <bgColor indexed="64"/>
      </patternFill>
    </fill>
    <fill>
      <patternFill patternType="solid">
        <fgColor rgb="FFA9C9F9"/>
        <bgColor indexed="64"/>
      </patternFill>
    </fill>
    <fill>
      <patternFill patternType="solid">
        <fgColor theme="0" tint="-0.249977111117893"/>
        <bgColor indexed="64"/>
      </patternFill>
    </fill>
  </fills>
  <borders count="45">
    <border>
      <left/>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5">
    <xf numFmtId="0" fontId="0" fillId="0" borderId="0"/>
    <xf numFmtId="164" fontId="2" fillId="0" borderId="0" applyFont="0" applyFill="0" applyBorder="0" applyAlignment="0" applyProtection="0"/>
    <xf numFmtId="0" fontId="9" fillId="0" borderId="0" applyNumberFormat="0" applyFill="0" applyBorder="0" applyAlignment="0" applyProtection="0">
      <alignment vertical="top"/>
      <protection locked="0"/>
    </xf>
    <xf numFmtId="9" fontId="2" fillId="0" borderId="0" applyFont="0" applyFill="0" applyBorder="0" applyAlignment="0" applyProtection="0"/>
    <xf numFmtId="0" fontId="1" fillId="0" borderId="0"/>
  </cellStyleXfs>
  <cellXfs count="280">
    <xf numFmtId="0" fontId="0" fillId="0" borderId="0" xfId="0"/>
    <xf numFmtId="0" fontId="0" fillId="0" borderId="0" xfId="0" quotePrefix="1"/>
    <xf numFmtId="0" fontId="0" fillId="0" borderId="0" xfId="0" applyAlignment="1">
      <alignment vertical="top"/>
    </xf>
    <xf numFmtId="0" fontId="3" fillId="0" borderId="0" xfId="0" applyFont="1"/>
    <xf numFmtId="0" fontId="5" fillId="0" borderId="0" xfId="0" applyFont="1" applyAlignment="1">
      <alignment horizontal="center" vertical="center" wrapText="1"/>
    </xf>
    <xf numFmtId="0" fontId="7" fillId="0" borderId="3" xfId="0" applyFont="1" applyBorder="1" applyAlignment="1">
      <alignment vertical="top"/>
    </xf>
    <xf numFmtId="0" fontId="7" fillId="0" borderId="4" xfId="0" applyFont="1" applyBorder="1" applyAlignment="1">
      <alignment vertical="top"/>
    </xf>
    <xf numFmtId="0" fontId="6" fillId="0" borderId="5" xfId="0" applyFont="1" applyBorder="1" applyAlignment="1">
      <alignment vertical="top" wrapText="1"/>
    </xf>
    <xf numFmtId="0" fontId="7" fillId="0" borderId="6" xfId="0" applyFont="1" applyBorder="1" applyAlignment="1">
      <alignment vertical="top"/>
    </xf>
    <xf numFmtId="0" fontId="7" fillId="0" borderId="0" xfId="0" applyFont="1" applyAlignment="1">
      <alignment vertical="top"/>
    </xf>
    <xf numFmtId="166" fontId="6" fillId="0" borderId="7" xfId="0" applyNumberFormat="1" applyFont="1" applyBorder="1" applyAlignment="1">
      <alignment horizontal="left" vertical="top" wrapText="1"/>
    </xf>
    <xf numFmtId="0" fontId="6" fillId="0" borderId="7" xfId="0" applyFont="1" applyBorder="1" applyAlignment="1">
      <alignment vertical="top" wrapText="1"/>
    </xf>
    <xf numFmtId="0" fontId="7" fillId="0" borderId="8" xfId="0" applyFont="1" applyBorder="1" applyAlignment="1">
      <alignment vertical="top"/>
    </xf>
    <xf numFmtId="0" fontId="6" fillId="0" borderId="9" xfId="0" applyFont="1" applyBorder="1" applyAlignment="1">
      <alignment vertical="top" wrapText="1"/>
    </xf>
    <xf numFmtId="0" fontId="6" fillId="0" borderId="0" xfId="0" applyFont="1"/>
    <xf numFmtId="0" fontId="6" fillId="0" borderId="0" xfId="0" quotePrefix="1" applyFont="1" applyAlignment="1">
      <alignment horizontal="center"/>
    </xf>
    <xf numFmtId="0" fontId="7" fillId="0" borderId="10" xfId="0" applyFont="1" applyBorder="1" applyAlignment="1">
      <alignment vertical="top"/>
    </xf>
    <xf numFmtId="0" fontId="3" fillId="0" borderId="0" xfId="0" applyFont="1" applyAlignment="1">
      <alignment horizontal="left" vertical="top" wrapText="1"/>
    </xf>
    <xf numFmtId="0" fontId="10" fillId="0" borderId="0" xfId="0" applyFont="1"/>
    <xf numFmtId="0" fontId="3" fillId="0" borderId="0" xfId="0" applyFont="1" applyAlignment="1">
      <alignment wrapText="1"/>
    </xf>
    <xf numFmtId="0" fontId="13" fillId="0" borderId="0" xfId="0" applyFont="1"/>
    <xf numFmtId="0" fontId="13" fillId="0" borderId="0" xfId="0" applyFont="1" applyAlignment="1">
      <alignment vertical="top"/>
    </xf>
    <xf numFmtId="0" fontId="7" fillId="0" borderId="0" xfId="0" applyFont="1" applyAlignment="1">
      <alignment horizontal="center" vertical="top"/>
    </xf>
    <xf numFmtId="0" fontId="0" fillId="0" borderId="0" xfId="0" applyAlignment="1">
      <alignment vertical="top" wrapText="1"/>
    </xf>
    <xf numFmtId="0" fontId="0" fillId="0" borderId="0" xfId="0" applyAlignment="1">
      <alignment horizontal="center"/>
    </xf>
    <xf numFmtId="0" fontId="18" fillId="0" borderId="0" xfId="0" applyFont="1"/>
    <xf numFmtId="0" fontId="19"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17" fillId="0" borderId="12" xfId="0" applyFont="1" applyBorder="1" applyAlignment="1">
      <alignment horizontal="center" vertical="center"/>
    </xf>
    <xf numFmtId="0" fontId="15" fillId="0" borderId="0" xfId="0" applyFont="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0" xfId="0" applyFont="1" applyAlignment="1">
      <alignment horizontal="center" vertical="center"/>
    </xf>
    <xf numFmtId="0" fontId="3" fillId="0" borderId="0" xfId="0" applyFont="1" applyAlignment="1">
      <alignment vertical="center"/>
    </xf>
    <xf numFmtId="165" fontId="0" fillId="0" borderId="0" xfId="0" applyNumberFormat="1"/>
    <xf numFmtId="167" fontId="0" fillId="0" borderId="0" xfId="1" applyNumberFormat="1" applyFont="1" applyBorder="1"/>
    <xf numFmtId="168" fontId="0" fillId="0" borderId="0" xfId="1" applyNumberFormat="1" applyFont="1" applyBorder="1"/>
    <xf numFmtId="0" fontId="0" fillId="0" borderId="0" xfId="1" applyNumberFormat="1" applyFont="1" applyBorder="1"/>
    <xf numFmtId="0" fontId="23" fillId="0" borderId="0" xfId="0" applyFont="1"/>
    <xf numFmtId="0" fontId="25" fillId="0" borderId="0" xfId="0" applyFont="1" applyAlignment="1">
      <alignment vertical="center"/>
    </xf>
    <xf numFmtId="0" fontId="5" fillId="0" borderId="15" xfId="0" applyFont="1" applyBorder="1" applyAlignment="1">
      <alignment vertical="center"/>
    </xf>
    <xf numFmtId="0" fontId="5" fillId="0" borderId="12" xfId="0" applyFont="1" applyBorder="1" applyAlignment="1">
      <alignment vertical="center"/>
    </xf>
    <xf numFmtId="165" fontId="5" fillId="0" borderId="12" xfId="0" applyNumberFormat="1" applyFont="1" applyBorder="1" applyAlignment="1">
      <alignment vertical="center"/>
    </xf>
    <xf numFmtId="0" fontId="26" fillId="0" borderId="15" xfId="0" applyFont="1" applyBorder="1" applyAlignment="1">
      <alignment vertical="center"/>
    </xf>
    <xf numFmtId="0" fontId="26" fillId="0" borderId="12" xfId="0" applyFont="1" applyBorder="1" applyAlignment="1">
      <alignment vertical="center"/>
    </xf>
    <xf numFmtId="0" fontId="5" fillId="0" borderId="0" xfId="0" applyFont="1" applyAlignment="1">
      <alignment horizontal="center" vertical="center"/>
    </xf>
    <xf numFmtId="0" fontId="30" fillId="0" borderId="12" xfId="0" applyFont="1" applyBorder="1" applyAlignment="1">
      <alignment vertical="center"/>
    </xf>
    <xf numFmtId="0" fontId="5" fillId="0" borderId="0" xfId="0" applyFont="1" applyAlignment="1">
      <alignment vertical="center"/>
    </xf>
    <xf numFmtId="0" fontId="5" fillId="0" borderId="0" xfId="0" applyFont="1" applyAlignment="1">
      <alignment vertical="center" wrapText="1"/>
    </xf>
    <xf numFmtId="0" fontId="3" fillId="3" borderId="16" xfId="0" applyFont="1" applyFill="1" applyBorder="1" applyAlignment="1">
      <alignment vertical="center"/>
    </xf>
    <xf numFmtId="0" fontId="3" fillId="3" borderId="13" xfId="0" applyFont="1" applyFill="1" applyBorder="1" applyAlignment="1">
      <alignment vertical="center"/>
    </xf>
    <xf numFmtId="0" fontId="30" fillId="0" borderId="15" xfId="0" applyFont="1" applyBorder="1" applyAlignment="1">
      <alignment vertical="center"/>
    </xf>
    <xf numFmtId="0" fontId="5" fillId="0" borderId="17" xfId="0" applyFont="1" applyBorder="1" applyAlignment="1">
      <alignment vertical="center"/>
    </xf>
    <xf numFmtId="0" fontId="5" fillId="0" borderId="18" xfId="0" applyFont="1" applyBorder="1" applyAlignment="1">
      <alignment vertical="center"/>
    </xf>
    <xf numFmtId="0" fontId="27" fillId="4" borderId="12" xfId="0" applyFont="1" applyFill="1" applyBorder="1" applyAlignment="1">
      <alignment vertical="center"/>
    </xf>
    <xf numFmtId="0" fontId="27" fillId="4" borderId="12" xfId="0" applyFont="1" applyFill="1" applyBorder="1" applyAlignment="1">
      <alignment vertical="center" wrapText="1"/>
    </xf>
    <xf numFmtId="0" fontId="27" fillId="4" borderId="12" xfId="0" quotePrefix="1" applyFont="1" applyFill="1" applyBorder="1" applyAlignment="1">
      <alignment horizontal="center" vertical="center"/>
    </xf>
    <xf numFmtId="0" fontId="27" fillId="0" borderId="0" xfId="0" applyFont="1" applyAlignment="1">
      <alignment horizontal="center" vertical="center"/>
    </xf>
    <xf numFmtId="0" fontId="27" fillId="5" borderId="12" xfId="0" quotePrefix="1" applyFont="1" applyFill="1" applyBorder="1" applyAlignment="1">
      <alignment horizontal="center" vertical="center"/>
    </xf>
    <xf numFmtId="0" fontId="26" fillId="0" borderId="0" xfId="0" applyFont="1" applyAlignment="1">
      <alignment horizontal="center" vertical="center"/>
    </xf>
    <xf numFmtId="0" fontId="27" fillId="0" borderId="12" xfId="0" quotePrefix="1" applyFont="1" applyBorder="1" applyAlignment="1">
      <alignment horizontal="center" vertical="center"/>
    </xf>
    <xf numFmtId="0" fontId="26" fillId="6" borderId="12" xfId="0" applyFont="1" applyFill="1" applyBorder="1" applyAlignment="1">
      <alignment vertical="center"/>
    </xf>
    <xf numFmtId="0" fontId="27" fillId="5" borderId="12" xfId="0" applyFont="1" applyFill="1" applyBorder="1" applyAlignment="1">
      <alignment horizontal="center" vertical="center"/>
    </xf>
    <xf numFmtId="0" fontId="28" fillId="0" borderId="0" xfId="0" applyFont="1" applyAlignment="1">
      <alignment horizontal="center" vertical="center"/>
    </xf>
    <xf numFmtId="0" fontId="27" fillId="0" borderId="12" xfId="0" applyFont="1" applyBorder="1" applyAlignment="1">
      <alignment horizontal="center" vertical="center"/>
    </xf>
    <xf numFmtId="0" fontId="28" fillId="0" borderId="12" xfId="0" applyFont="1" applyBorder="1" applyAlignment="1">
      <alignment horizontal="center" vertical="center"/>
    </xf>
    <xf numFmtId="0" fontId="31" fillId="0" borderId="12" xfId="0" applyFont="1" applyBorder="1" applyAlignment="1">
      <alignment vertical="center"/>
    </xf>
    <xf numFmtId="0" fontId="27" fillId="4" borderId="16" xfId="0" applyFont="1" applyFill="1" applyBorder="1" applyAlignment="1">
      <alignment vertical="center"/>
    </xf>
    <xf numFmtId="0" fontId="27" fillId="4" borderId="13" xfId="0" applyFont="1" applyFill="1" applyBorder="1" applyAlignment="1">
      <alignment vertical="center"/>
    </xf>
    <xf numFmtId="0" fontId="27" fillId="4" borderId="13" xfId="0" applyFont="1" applyFill="1" applyBorder="1" applyAlignment="1">
      <alignment horizontal="center" vertical="center"/>
    </xf>
    <xf numFmtId="0" fontId="27" fillId="4" borderId="1" xfId="0" applyFont="1" applyFill="1" applyBorder="1" applyAlignment="1">
      <alignment vertical="center"/>
    </xf>
    <xf numFmtId="0" fontId="32" fillId="0" borderId="12" xfId="0" quotePrefix="1" applyFont="1" applyBorder="1" applyAlignment="1">
      <alignment horizontal="center" vertical="center"/>
    </xf>
    <xf numFmtId="0" fontId="32" fillId="0" borderId="12" xfId="0" applyFont="1" applyBorder="1" applyAlignment="1">
      <alignment horizontal="center" vertical="center"/>
    </xf>
    <xf numFmtId="0" fontId="31" fillId="0" borderId="15" xfId="0" applyFont="1" applyBorder="1" applyAlignment="1">
      <alignment vertical="center"/>
    </xf>
    <xf numFmtId="0" fontId="31" fillId="0" borderId="17" xfId="0" applyFont="1" applyBorder="1" applyAlignment="1">
      <alignment vertical="center"/>
    </xf>
    <xf numFmtId="0" fontId="26" fillId="0" borderId="18" xfId="0" applyFont="1" applyBorder="1" applyAlignment="1">
      <alignment vertical="center"/>
    </xf>
    <xf numFmtId="0" fontId="32" fillId="0" borderId="18" xfId="0" quotePrefix="1" applyFont="1" applyBorder="1" applyAlignment="1">
      <alignment horizontal="center" vertical="center"/>
    </xf>
    <xf numFmtId="0" fontId="26" fillId="0" borderId="2" xfId="0" applyFont="1" applyBorder="1" applyAlignment="1">
      <alignment horizontal="center" vertical="center"/>
    </xf>
    <xf numFmtId="0" fontId="26" fillId="0" borderId="19" xfId="0" applyFont="1" applyBorder="1" applyAlignment="1">
      <alignment horizontal="center" vertical="center"/>
    </xf>
    <xf numFmtId="0" fontId="26" fillId="0" borderId="16" xfId="0" applyFont="1" applyBorder="1" applyAlignment="1">
      <alignment vertical="top" wrapText="1"/>
    </xf>
    <xf numFmtId="0" fontId="27" fillId="5" borderId="13" xfId="0" quotePrefix="1" applyFont="1" applyFill="1" applyBorder="1" applyAlignment="1">
      <alignment horizontal="center" vertical="top"/>
    </xf>
    <xf numFmtId="0" fontId="26" fillId="0" borderId="13" xfId="0" applyFont="1" applyBorder="1" applyAlignment="1">
      <alignment horizontal="center" vertical="top"/>
    </xf>
    <xf numFmtId="0" fontId="33" fillId="0" borderId="1" xfId="0" applyFont="1" applyBorder="1" applyAlignment="1">
      <alignment vertical="top"/>
    </xf>
    <xf numFmtId="0" fontId="26" fillId="0" borderId="0" xfId="0" applyFont="1" applyAlignment="1">
      <alignment vertical="top" wrapText="1"/>
    </xf>
    <xf numFmtId="0" fontId="26" fillId="0" borderId="15" xfId="0" applyFont="1" applyBorder="1" applyAlignment="1">
      <alignment vertical="top" wrapText="1"/>
    </xf>
    <xf numFmtId="0" fontId="27" fillId="5" borderId="12" xfId="0" applyFont="1" applyFill="1" applyBorder="1" applyAlignment="1">
      <alignment horizontal="center" vertical="top"/>
    </xf>
    <xf numFmtId="0" fontId="26" fillId="0" borderId="12" xfId="0" applyFont="1" applyBorder="1" applyAlignment="1">
      <alignment horizontal="center" vertical="top"/>
    </xf>
    <xf numFmtId="0" fontId="33" fillId="0" borderId="2" xfId="0" applyFont="1" applyBorder="1" applyAlignment="1">
      <alignment vertical="top"/>
    </xf>
    <xf numFmtId="0" fontId="32" fillId="0" borderId="2" xfId="0" applyFont="1" applyBorder="1" applyAlignment="1">
      <alignment vertical="top"/>
    </xf>
    <xf numFmtId="0" fontId="27" fillId="0" borderId="12" xfId="0" applyFont="1" applyBorder="1" applyAlignment="1">
      <alignment horizontal="center" vertical="top"/>
    </xf>
    <xf numFmtId="0" fontId="26" fillId="0" borderId="20" xfId="0" applyFont="1" applyBorder="1" applyAlignment="1">
      <alignment vertical="top" wrapText="1"/>
    </xf>
    <xf numFmtId="0" fontId="26" fillId="0" borderId="2" xfId="0" applyFont="1" applyBorder="1" applyAlignment="1">
      <alignment vertical="top" wrapText="1"/>
    </xf>
    <xf numFmtId="0" fontId="25" fillId="0" borderId="12" xfId="0" applyFont="1" applyBorder="1" applyAlignment="1">
      <alignment horizontal="center" vertical="top"/>
    </xf>
    <xf numFmtId="0" fontId="26" fillId="0" borderId="2" xfId="0" applyFont="1" applyBorder="1" applyAlignment="1">
      <alignment vertical="top"/>
    </xf>
    <xf numFmtId="9" fontId="27" fillId="5" borderId="12" xfId="3" applyFont="1" applyFill="1" applyBorder="1" applyAlignment="1">
      <alignment horizontal="center" vertical="top"/>
    </xf>
    <xf numFmtId="9" fontId="27" fillId="0" borderId="12" xfId="3" applyFont="1" applyFill="1" applyBorder="1" applyAlignment="1">
      <alignment horizontal="center" vertical="top"/>
    </xf>
    <xf numFmtId="0" fontId="26" fillId="0" borderId="0" xfId="0" applyFont="1" applyAlignment="1">
      <alignment vertical="top"/>
    </xf>
    <xf numFmtId="9" fontId="26" fillId="0" borderId="12" xfId="3" applyFont="1" applyBorder="1" applyAlignment="1">
      <alignment horizontal="center" vertical="top"/>
    </xf>
    <xf numFmtId="0" fontId="26" fillId="0" borderId="21" xfId="0" applyFont="1" applyBorder="1" applyAlignment="1">
      <alignment vertical="top" wrapText="1"/>
    </xf>
    <xf numFmtId="165" fontId="32" fillId="7" borderId="18" xfId="0" applyNumberFormat="1" applyFont="1" applyFill="1" applyBorder="1" applyAlignment="1">
      <alignment horizontal="center" vertical="top"/>
    </xf>
    <xf numFmtId="0" fontId="26" fillId="0" borderId="18" xfId="0" applyFont="1" applyBorder="1" applyAlignment="1">
      <alignment horizontal="center" vertical="top"/>
    </xf>
    <xf numFmtId="0" fontId="25" fillId="0" borderId="0" xfId="0" applyFont="1" applyAlignment="1">
      <alignment vertical="top"/>
    </xf>
    <xf numFmtId="0" fontId="25" fillId="0" borderId="0" xfId="0" applyFont="1" applyAlignment="1">
      <alignment horizontal="center" vertical="top"/>
    </xf>
    <xf numFmtId="0" fontId="25" fillId="0" borderId="0" xfId="0" applyFont="1" applyAlignment="1">
      <alignment vertical="top" wrapText="1"/>
    </xf>
    <xf numFmtId="0" fontId="26" fillId="0" borderId="22" xfId="0" applyFont="1" applyBorder="1" applyAlignment="1">
      <alignment vertical="top"/>
    </xf>
    <xf numFmtId="0" fontId="26" fillId="0" borderId="23" xfId="0" applyFont="1" applyBorder="1" applyAlignment="1">
      <alignment vertical="top"/>
    </xf>
    <xf numFmtId="0" fontId="3" fillId="0" borderId="3" xfId="0" applyFont="1" applyBorder="1" applyAlignment="1">
      <alignment horizontal="center" vertical="center" wrapText="1"/>
    </xf>
    <xf numFmtId="0" fontId="3" fillId="0" borderId="0" xfId="0" applyFont="1" applyAlignment="1">
      <alignment horizontal="center" vertical="center" wrapText="1"/>
    </xf>
    <xf numFmtId="0" fontId="5" fillId="0" borderId="22" xfId="0" applyFont="1" applyBorder="1" applyAlignment="1">
      <alignment vertical="center" wrapText="1"/>
    </xf>
    <xf numFmtId="0" fontId="5" fillId="0" borderId="23" xfId="0" applyFont="1" applyBorder="1" applyAlignment="1">
      <alignment vertical="center" wrapText="1"/>
    </xf>
    <xf numFmtId="0" fontId="5" fillId="0" borderId="24" xfId="0" applyFont="1" applyBorder="1" applyAlignment="1">
      <alignment vertical="center" wrapText="1"/>
    </xf>
    <xf numFmtId="165" fontId="5" fillId="0" borderId="18" xfId="0" applyNumberFormat="1" applyFont="1" applyBorder="1" applyAlignment="1">
      <alignment vertical="center"/>
    </xf>
    <xf numFmtId="165" fontId="3" fillId="0" borderId="0" xfId="0" applyNumberFormat="1" applyFont="1" applyAlignment="1">
      <alignment vertical="center"/>
    </xf>
    <xf numFmtId="165" fontId="16" fillId="4" borderId="25" xfId="0" applyNumberFormat="1" applyFont="1" applyFill="1" applyBorder="1" applyAlignment="1">
      <alignment vertical="center"/>
    </xf>
    <xf numFmtId="0" fontId="31" fillId="0" borderId="24" xfId="0" applyFont="1" applyBorder="1" applyAlignment="1">
      <alignment vertical="top"/>
    </xf>
    <xf numFmtId="0" fontId="26" fillId="0" borderId="20" xfId="0" applyFont="1" applyBorder="1" applyAlignment="1">
      <alignment horizontal="center" vertical="center"/>
    </xf>
    <xf numFmtId="0" fontId="9" fillId="0" borderId="7" xfId="2" applyBorder="1" applyAlignment="1" applyProtection="1">
      <alignment vertical="top" wrapText="1"/>
    </xf>
    <xf numFmtId="0" fontId="6" fillId="0" borderId="0" xfId="0" applyFont="1" applyAlignment="1">
      <alignment horizontal="center"/>
    </xf>
    <xf numFmtId="0" fontId="5" fillId="0" borderId="2" xfId="0" applyFont="1" applyBorder="1" applyAlignment="1">
      <alignment horizontal="center" vertical="center"/>
    </xf>
    <xf numFmtId="0" fontId="5" fillId="0" borderId="19" xfId="0" applyFont="1" applyBorder="1" applyAlignment="1">
      <alignment horizontal="center" vertical="center"/>
    </xf>
    <xf numFmtId="0" fontId="3" fillId="0" borderId="0" xfId="0" applyFont="1" applyAlignment="1">
      <alignment horizontal="center" vertical="center"/>
    </xf>
    <xf numFmtId="0" fontId="16" fillId="4" borderId="26" xfId="0" applyFont="1" applyFill="1" applyBorder="1" applyAlignment="1">
      <alignment horizontal="center" vertical="center"/>
    </xf>
    <xf numFmtId="0" fontId="0" fillId="0" borderId="0" xfId="0" applyAlignment="1">
      <alignment horizontal="centerContinuous" vertical="top" wrapText="1"/>
    </xf>
    <xf numFmtId="0" fontId="35" fillId="0" borderId="0" xfId="0" applyFont="1" applyAlignment="1">
      <alignment horizontal="centerContinuous" vertical="top" wrapText="1"/>
    </xf>
    <xf numFmtId="0" fontId="24" fillId="0" borderId="0" xfId="0" applyFont="1" applyAlignment="1">
      <alignment horizontal="centerContinuous"/>
    </xf>
    <xf numFmtId="0" fontId="26" fillId="0" borderId="0" xfId="0" applyFont="1" applyAlignment="1">
      <alignment horizontal="centerContinuous" wrapText="1"/>
    </xf>
    <xf numFmtId="0" fontId="24" fillId="0" borderId="0" xfId="0" applyFont="1" applyAlignment="1">
      <alignment horizontal="centerContinuous" wrapText="1"/>
    </xf>
    <xf numFmtId="0" fontId="37" fillId="0" borderId="0" xfId="0" applyFont="1" applyAlignment="1">
      <alignment horizontal="centerContinuous" vertical="top"/>
    </xf>
    <xf numFmtId="0" fontId="24" fillId="0" borderId="0" xfId="0" applyFont="1" applyAlignment="1">
      <alignment horizontal="centerContinuous" vertical="top"/>
    </xf>
    <xf numFmtId="0" fontId="20" fillId="0" borderId="0" xfId="0" applyFont="1" applyAlignment="1">
      <alignment horizontal="centerContinuous" vertical="top"/>
    </xf>
    <xf numFmtId="0" fontId="4" fillId="4" borderId="16" xfId="0" applyFont="1" applyFill="1" applyBorder="1" applyAlignment="1">
      <alignment horizontal="centerContinuous" vertical="center" wrapText="1"/>
    </xf>
    <xf numFmtId="0" fontId="4" fillId="4" borderId="13" xfId="0" applyFont="1" applyFill="1" applyBorder="1" applyAlignment="1">
      <alignment horizontal="centerContinuous" vertical="center" wrapText="1"/>
    </xf>
    <xf numFmtId="0" fontId="4" fillId="4" borderId="1" xfId="0" applyFont="1" applyFill="1" applyBorder="1" applyAlignment="1">
      <alignment horizontal="centerContinuous" vertical="center" wrapText="1"/>
    </xf>
    <xf numFmtId="0" fontId="0" fillId="0" borderId="0" xfId="0" applyAlignment="1">
      <alignment horizontal="center" wrapText="1"/>
    </xf>
    <xf numFmtId="0" fontId="3" fillId="0" borderId="0" xfId="0" applyFont="1" applyAlignment="1">
      <alignment horizontal="center" wrapText="1"/>
    </xf>
    <xf numFmtId="0" fontId="0" fillId="0" borderId="0" xfId="0" quotePrefix="1" applyAlignment="1">
      <alignment horizontal="center" wrapText="1"/>
    </xf>
    <xf numFmtId="0" fontId="3" fillId="0" borderId="0" xfId="0" quotePrefix="1" applyFont="1" applyAlignment="1">
      <alignment horizontal="center" wrapText="1"/>
    </xf>
    <xf numFmtId="0" fontId="5" fillId="0" borderId="0" xfId="0" applyFont="1" applyAlignment="1">
      <alignment horizontal="center" wrapText="1"/>
    </xf>
    <xf numFmtId="0" fontId="39" fillId="5" borderId="12" xfId="0" applyFont="1" applyFill="1" applyBorder="1" applyAlignment="1">
      <alignment horizontal="center" vertical="center"/>
    </xf>
    <xf numFmtId="0" fontId="26" fillId="0" borderId="24" xfId="0" applyFont="1" applyBorder="1" applyAlignment="1">
      <alignment vertical="top" wrapText="1"/>
    </xf>
    <xf numFmtId="0" fontId="3" fillId="0" borderId="0" xfId="0" applyFont="1" applyAlignment="1">
      <alignment vertical="top"/>
    </xf>
    <xf numFmtId="0" fontId="3" fillId="0" borderId="27" xfId="0" applyFont="1" applyBorder="1" applyAlignment="1">
      <alignment horizontal="left" vertical="center"/>
    </xf>
    <xf numFmtId="0" fontId="3" fillId="0" borderId="28" xfId="0" applyFont="1" applyBorder="1" applyAlignment="1">
      <alignment horizontal="left" vertical="center"/>
    </xf>
    <xf numFmtId="0" fontId="42" fillId="9" borderId="30" xfId="0" applyFont="1" applyFill="1" applyBorder="1" applyAlignment="1">
      <alignment horizontal="center" vertical="center"/>
    </xf>
    <xf numFmtId="0" fontId="42" fillId="9" borderId="29" xfId="0" applyFont="1" applyFill="1" applyBorder="1" applyAlignment="1">
      <alignment horizontal="center" vertical="center"/>
    </xf>
    <xf numFmtId="0" fontId="3" fillId="0" borderId="31" xfId="0" applyFont="1" applyBorder="1" applyAlignment="1">
      <alignment vertical="top"/>
    </xf>
    <xf numFmtId="0" fontId="3" fillId="0" borderId="0" xfId="0" applyFont="1" applyAlignment="1">
      <alignment horizontal="left" vertical="center"/>
    </xf>
    <xf numFmtId="0" fontId="3" fillId="0" borderId="32" xfId="0" applyFont="1" applyBorder="1" applyAlignment="1">
      <alignment horizontal="left" vertical="center"/>
    </xf>
    <xf numFmtId="0" fontId="42" fillId="9" borderId="33" xfId="0" applyFont="1" applyFill="1" applyBorder="1" applyAlignment="1">
      <alignment horizontal="center" vertical="center"/>
    </xf>
    <xf numFmtId="0" fontId="3" fillId="10" borderId="31" xfId="0" applyFont="1" applyFill="1" applyBorder="1" applyAlignment="1">
      <alignment horizontal="center" vertical="center" wrapText="1"/>
    </xf>
    <xf numFmtId="165" fontId="43" fillId="11" borderId="12" xfId="0" applyNumberFormat="1" applyFont="1" applyFill="1" applyBorder="1" applyAlignment="1">
      <alignment horizontal="center" vertical="top"/>
    </xf>
    <xf numFmtId="1" fontId="40" fillId="0" borderId="20" xfId="0" applyNumberFormat="1" applyFont="1" applyBorder="1" applyAlignment="1">
      <alignment horizontal="center" vertical="center"/>
    </xf>
    <xf numFmtId="165" fontId="10" fillId="12" borderId="20" xfId="0" applyNumberFormat="1" applyFont="1" applyFill="1" applyBorder="1" applyAlignment="1">
      <alignment horizontal="center" vertical="center"/>
    </xf>
    <xf numFmtId="2" fontId="10" fillId="12" borderId="20" xfId="0" applyNumberFormat="1" applyFont="1" applyFill="1" applyBorder="1" applyAlignment="1">
      <alignment horizontal="center" vertical="center"/>
    </xf>
    <xf numFmtId="0" fontId="40" fillId="0" borderId="0" xfId="0" applyFont="1" applyAlignment="1">
      <alignment vertical="center"/>
    </xf>
    <xf numFmtId="0" fontId="10" fillId="0" borderId="0" xfId="0" applyFont="1" applyAlignment="1">
      <alignment vertical="center"/>
    </xf>
    <xf numFmtId="0" fontId="10" fillId="0" borderId="0" xfId="0" applyFont="1" applyAlignment="1">
      <alignment horizontal="center" vertical="center"/>
    </xf>
    <xf numFmtId="0" fontId="10" fillId="0" borderId="0" xfId="0" applyFont="1" applyAlignment="1">
      <alignment vertical="center" wrapText="1"/>
    </xf>
    <xf numFmtId="9" fontId="25" fillId="0" borderId="0" xfId="3" applyFont="1" applyBorder="1" applyAlignment="1">
      <alignment horizontal="center" vertical="top"/>
    </xf>
    <xf numFmtId="0" fontId="44" fillId="0" borderId="0" xfId="0" applyFont="1" applyAlignment="1">
      <alignment horizontal="left" vertical="top" wrapText="1"/>
    </xf>
    <xf numFmtId="0" fontId="5" fillId="10" borderId="20" xfId="0" applyFont="1" applyFill="1" applyBorder="1" applyAlignment="1">
      <alignment vertical="center"/>
    </xf>
    <xf numFmtId="165" fontId="5" fillId="10" borderId="12" xfId="0" applyNumberFormat="1" applyFont="1" applyFill="1" applyBorder="1" applyAlignment="1">
      <alignment vertical="center"/>
    </xf>
    <xf numFmtId="0" fontId="5" fillId="10" borderId="2" xfId="0" applyFont="1" applyFill="1" applyBorder="1" applyAlignment="1">
      <alignment horizontal="center" vertical="center"/>
    </xf>
    <xf numFmtId="0" fontId="5" fillId="10" borderId="21" xfId="0" applyFont="1" applyFill="1" applyBorder="1" applyAlignment="1">
      <alignment vertical="center"/>
    </xf>
    <xf numFmtId="165" fontId="5" fillId="10" borderId="18" xfId="0" applyNumberFormat="1" applyFont="1" applyFill="1" applyBorder="1" applyAlignment="1">
      <alignment vertical="center"/>
    </xf>
    <xf numFmtId="0" fontId="5" fillId="10" borderId="19" xfId="0" applyFont="1" applyFill="1" applyBorder="1" applyAlignment="1">
      <alignment horizontal="center" vertical="center"/>
    </xf>
    <xf numFmtId="0" fontId="25" fillId="0" borderId="0" xfId="0" applyFont="1" applyAlignment="1">
      <alignment horizontal="right" vertical="center"/>
    </xf>
    <xf numFmtId="0" fontId="5" fillId="0" borderId="0" xfId="0" applyFont="1"/>
    <xf numFmtId="165" fontId="5" fillId="0" borderId="0" xfId="0" applyNumberFormat="1" applyFont="1"/>
    <xf numFmtId="0" fontId="45" fillId="13" borderId="0" xfId="0" applyFont="1" applyFill="1"/>
    <xf numFmtId="165" fontId="45" fillId="13" borderId="0" xfId="0" applyNumberFormat="1" applyFont="1" applyFill="1"/>
    <xf numFmtId="0" fontId="26" fillId="0" borderId="0" xfId="0" applyFont="1" applyAlignment="1">
      <alignment vertical="center"/>
    </xf>
    <xf numFmtId="165" fontId="26" fillId="0" borderId="0" xfId="0" applyNumberFormat="1" applyFont="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0" borderId="6" xfId="0" applyBorder="1"/>
    <xf numFmtId="0" fontId="0" fillId="0" borderId="7" xfId="0" applyBorder="1"/>
    <xf numFmtId="0" fontId="0" fillId="0" borderId="10" xfId="0" applyBorder="1"/>
    <xf numFmtId="0" fontId="0" fillId="0" borderId="9" xfId="0" applyBorder="1"/>
    <xf numFmtId="0" fontId="28" fillId="8" borderId="34" xfId="0" applyFont="1" applyFill="1" applyBorder="1" applyAlignment="1">
      <alignment vertical="center"/>
    </xf>
    <xf numFmtId="165" fontId="27" fillId="8" borderId="35" xfId="0" applyNumberFormat="1" applyFont="1" applyFill="1" applyBorder="1" applyAlignment="1">
      <alignment vertical="center"/>
    </xf>
    <xf numFmtId="165" fontId="27" fillId="8" borderId="12" xfId="0" applyNumberFormat="1" applyFont="1" applyFill="1" applyBorder="1" applyAlignment="1">
      <alignment vertical="center"/>
    </xf>
    <xf numFmtId="0" fontId="27" fillId="8" borderId="2" xfId="0" applyFont="1" applyFill="1" applyBorder="1" applyAlignment="1">
      <alignment vertical="center"/>
    </xf>
    <xf numFmtId="2" fontId="6" fillId="0" borderId="7" xfId="0" quotePrefix="1" applyNumberFormat="1" applyFont="1" applyBorder="1" applyAlignment="1">
      <alignment horizontal="left" vertical="top" wrapText="1"/>
    </xf>
    <xf numFmtId="0" fontId="46" fillId="14" borderId="36" xfId="0" applyFont="1" applyFill="1" applyBorder="1" applyAlignment="1">
      <alignment vertical="center"/>
    </xf>
    <xf numFmtId="0" fontId="46" fillId="14" borderId="37" xfId="0" applyFont="1" applyFill="1" applyBorder="1" applyAlignment="1">
      <alignment vertical="center"/>
    </xf>
    <xf numFmtId="165" fontId="46" fillId="14" borderId="18" xfId="0" applyNumberFormat="1" applyFont="1" applyFill="1" applyBorder="1" applyAlignment="1">
      <alignment vertical="center"/>
    </xf>
    <xf numFmtId="0" fontId="46" fillId="14" borderId="19" xfId="0" applyFont="1" applyFill="1" applyBorder="1" applyAlignment="1">
      <alignment vertical="center"/>
    </xf>
    <xf numFmtId="0" fontId="28" fillId="15" borderId="35" xfId="0" applyFont="1" applyFill="1" applyBorder="1" applyAlignment="1">
      <alignment vertical="center"/>
    </xf>
    <xf numFmtId="0" fontId="27" fillId="15" borderId="34" xfId="0" applyFont="1" applyFill="1" applyBorder="1" applyAlignment="1">
      <alignment vertical="center"/>
    </xf>
    <xf numFmtId="165" fontId="27" fillId="15" borderId="12" xfId="0" applyNumberFormat="1" applyFont="1" applyFill="1" applyBorder="1" applyAlignment="1">
      <alignment vertical="center"/>
    </xf>
    <xf numFmtId="0" fontId="27" fillId="15" borderId="2" xfId="0" applyFont="1" applyFill="1" applyBorder="1" applyAlignment="1">
      <alignment vertical="center"/>
    </xf>
    <xf numFmtId="0" fontId="26" fillId="16" borderId="35" xfId="0" applyFont="1" applyFill="1" applyBorder="1" applyAlignment="1">
      <alignment vertical="center"/>
    </xf>
    <xf numFmtId="0" fontId="25" fillId="16" borderId="34" xfId="0" applyFont="1" applyFill="1" applyBorder="1" applyAlignment="1">
      <alignment vertical="center"/>
    </xf>
    <xf numFmtId="165" fontId="25" fillId="16" borderId="12" xfId="0" applyNumberFormat="1" applyFont="1" applyFill="1" applyBorder="1" applyAlignment="1">
      <alignment vertical="center"/>
    </xf>
    <xf numFmtId="0" fontId="25" fillId="16" borderId="2" xfId="0" applyFont="1" applyFill="1" applyBorder="1" applyAlignment="1">
      <alignment vertical="center"/>
    </xf>
    <xf numFmtId="0" fontId="28" fillId="17" borderId="35" xfId="0" applyFont="1" applyFill="1" applyBorder="1" applyAlignment="1">
      <alignment vertical="center"/>
    </xf>
    <xf numFmtId="0" fontId="27" fillId="17" borderId="34" xfId="0" applyFont="1" applyFill="1" applyBorder="1" applyAlignment="1">
      <alignment vertical="center"/>
    </xf>
    <xf numFmtId="165" fontId="27" fillId="17" borderId="12" xfId="0" applyNumberFormat="1" applyFont="1" applyFill="1" applyBorder="1" applyAlignment="1">
      <alignment vertical="center"/>
    </xf>
    <xf numFmtId="0" fontId="27" fillId="17" borderId="2" xfId="0" applyFont="1" applyFill="1" applyBorder="1" applyAlignment="1">
      <alignment vertical="center"/>
    </xf>
    <xf numFmtId="0" fontId="26" fillId="18" borderId="38" xfId="0" applyFont="1" applyFill="1" applyBorder="1" applyAlignment="1">
      <alignment vertical="center"/>
    </xf>
    <xf numFmtId="0" fontId="26" fillId="18" borderId="39" xfId="0" applyFont="1" applyFill="1" applyBorder="1" applyAlignment="1">
      <alignment vertical="center"/>
    </xf>
    <xf numFmtId="165" fontId="26" fillId="18" borderId="13" xfId="0" applyNumberFormat="1" applyFont="1" applyFill="1" applyBorder="1" applyAlignment="1">
      <alignment vertical="center"/>
    </xf>
    <xf numFmtId="0" fontId="26" fillId="18" borderId="1" xfId="0" applyFont="1" applyFill="1" applyBorder="1" applyAlignment="1">
      <alignment vertical="center"/>
    </xf>
    <xf numFmtId="0" fontId="26" fillId="19" borderId="35" xfId="0" applyFont="1" applyFill="1" applyBorder="1" applyAlignment="1">
      <alignment vertical="center"/>
    </xf>
    <xf numFmtId="0" fontId="26" fillId="19" borderId="34" xfId="0" applyFont="1" applyFill="1" applyBorder="1" applyAlignment="1">
      <alignment vertical="center"/>
    </xf>
    <xf numFmtId="165" fontId="26" fillId="19" borderId="12" xfId="0" applyNumberFormat="1" applyFont="1" applyFill="1" applyBorder="1" applyAlignment="1">
      <alignment vertical="center"/>
    </xf>
    <xf numFmtId="0" fontId="26" fillId="19" borderId="2" xfId="0" applyFont="1" applyFill="1" applyBorder="1" applyAlignment="1">
      <alignment vertical="center"/>
    </xf>
    <xf numFmtId="0" fontId="26" fillId="20" borderId="35" xfId="0" applyFont="1" applyFill="1" applyBorder="1" applyAlignment="1">
      <alignment vertical="center"/>
    </xf>
    <xf numFmtId="0" fontId="26" fillId="20" borderId="34" xfId="0" applyFont="1" applyFill="1" applyBorder="1" applyAlignment="1">
      <alignment vertical="center"/>
    </xf>
    <xf numFmtId="165" fontId="26" fillId="20" borderId="12" xfId="0" applyNumberFormat="1" applyFont="1" applyFill="1" applyBorder="1" applyAlignment="1">
      <alignment vertical="center"/>
    </xf>
    <xf numFmtId="0" fontId="26" fillId="20" borderId="2" xfId="0" applyFont="1" applyFill="1" applyBorder="1" applyAlignment="1">
      <alignment vertical="center"/>
    </xf>
    <xf numFmtId="0" fontId="48" fillId="0" borderId="7" xfId="0" applyFont="1" applyBorder="1" applyAlignment="1">
      <alignment vertical="top" wrapText="1"/>
    </xf>
    <xf numFmtId="1" fontId="27" fillId="5" borderId="12" xfId="0" applyNumberFormat="1" applyFont="1" applyFill="1" applyBorder="1" applyAlignment="1">
      <alignment horizontal="center" vertical="center"/>
    </xf>
    <xf numFmtId="0" fontId="2" fillId="0" borderId="0" xfId="0" applyFont="1" applyAlignment="1">
      <alignment vertical="top"/>
    </xf>
    <xf numFmtId="0" fontId="3" fillId="0" borderId="0" xfId="0" applyFont="1" applyAlignment="1">
      <alignment horizontal="center" vertical="top"/>
    </xf>
    <xf numFmtId="0" fontId="3" fillId="0" borderId="0" xfId="0" applyFont="1" applyAlignment="1">
      <alignment vertical="top" wrapText="1"/>
    </xf>
    <xf numFmtId="0" fontId="3" fillId="0" borderId="3" xfId="0" applyFont="1" applyBorder="1" applyAlignment="1">
      <alignment vertical="top"/>
    </xf>
    <xf numFmtId="0" fontId="3" fillId="0" borderId="4" xfId="0" applyFont="1" applyBorder="1" applyAlignment="1">
      <alignment vertical="top"/>
    </xf>
    <xf numFmtId="0" fontId="3" fillId="0" borderId="5" xfId="0" applyFont="1" applyBorder="1" applyAlignment="1">
      <alignment vertical="top"/>
    </xf>
    <xf numFmtId="0" fontId="3" fillId="0" borderId="7" xfId="0" applyFont="1" applyBorder="1" applyAlignment="1">
      <alignment vertical="top"/>
    </xf>
    <xf numFmtId="0" fontId="3" fillId="0" borderId="6" xfId="0" applyFont="1" applyBorder="1" applyAlignment="1">
      <alignment vertical="top"/>
    </xf>
    <xf numFmtId="0" fontId="3" fillId="0" borderId="12" xfId="0" applyFont="1" applyBorder="1" applyAlignment="1">
      <alignment horizontal="center" vertical="center"/>
    </xf>
    <xf numFmtId="165" fontId="3" fillId="0" borderId="12" xfId="0" applyNumberFormat="1" applyFont="1" applyBorder="1" applyAlignment="1">
      <alignment horizontal="center" vertical="center"/>
    </xf>
    <xf numFmtId="0" fontId="3" fillId="0" borderId="29" xfId="0" applyFont="1" applyBorder="1" applyAlignment="1">
      <alignment horizontal="center" vertical="center"/>
    </xf>
    <xf numFmtId="169" fontId="40" fillId="12" borderId="20" xfId="0" applyNumberFormat="1" applyFont="1" applyFill="1" applyBorder="1" applyAlignment="1">
      <alignment horizontal="center" vertical="center"/>
    </xf>
    <xf numFmtId="165" fontId="3" fillId="0" borderId="0" xfId="0" applyNumberFormat="1" applyFont="1" applyAlignment="1">
      <alignment vertical="top"/>
    </xf>
    <xf numFmtId="0" fontId="3" fillId="0" borderId="8" xfId="0" applyFont="1" applyBorder="1" applyAlignment="1">
      <alignment vertical="top"/>
    </xf>
    <xf numFmtId="0" fontId="3" fillId="0" borderId="10" xfId="0" applyFont="1" applyBorder="1" applyAlignment="1">
      <alignment vertical="top"/>
    </xf>
    <xf numFmtId="0" fontId="3" fillId="0" borderId="9" xfId="0" applyFont="1" applyBorder="1" applyAlignment="1">
      <alignment vertical="top"/>
    </xf>
    <xf numFmtId="1" fontId="32" fillId="0" borderId="12" xfId="0" quotePrefix="1" applyNumberFormat="1" applyFont="1" applyBorder="1" applyAlignment="1">
      <alignment horizontal="center" vertical="center"/>
    </xf>
    <xf numFmtId="1" fontId="40" fillId="12" borderId="12" xfId="0" applyNumberFormat="1" applyFont="1" applyFill="1" applyBorder="1" applyAlignment="1">
      <alignment horizontal="center" vertical="center"/>
    </xf>
    <xf numFmtId="0" fontId="2" fillId="0" borderId="0" xfId="0" applyFont="1" applyAlignment="1">
      <alignment horizontal="center" wrapText="1"/>
    </xf>
    <xf numFmtId="0" fontId="2" fillId="0" borderId="0" xfId="0" applyFont="1"/>
    <xf numFmtId="0" fontId="26" fillId="0" borderId="44" xfId="0" applyFont="1" applyBorder="1"/>
    <xf numFmtId="0" fontId="8" fillId="2" borderId="44" xfId="0" applyFont="1" applyFill="1" applyBorder="1" applyAlignment="1">
      <alignment horizontal="right"/>
    </xf>
    <xf numFmtId="0" fontId="6" fillId="0" borderId="44" xfId="0" applyFont="1" applyBorder="1"/>
    <xf numFmtId="0" fontId="0" fillId="0" borderId="44" xfId="0" applyBorder="1"/>
    <xf numFmtId="0" fontId="8" fillId="2" borderId="44" xfId="0" quotePrefix="1" applyFont="1" applyFill="1" applyBorder="1" applyAlignment="1">
      <alignment horizontal="right"/>
    </xf>
    <xf numFmtId="0" fontId="49" fillId="0" borderId="0" xfId="0" applyFont="1"/>
    <xf numFmtId="0" fontId="26" fillId="0" borderId="12" xfId="0" applyFont="1" applyBorder="1" applyAlignment="1">
      <alignment horizontal="left" vertical="center"/>
    </xf>
    <xf numFmtId="0" fontId="26" fillId="0" borderId="14" xfId="0" applyFont="1" applyBorder="1" applyAlignment="1">
      <alignment vertical="center"/>
    </xf>
    <xf numFmtId="0" fontId="26" fillId="0" borderId="41" xfId="0" applyFont="1" applyBorder="1" applyAlignment="1">
      <alignment vertical="center"/>
    </xf>
    <xf numFmtId="0" fontId="26" fillId="0" borderId="12" xfId="0" applyFont="1" applyBorder="1" applyAlignment="1">
      <alignment vertical="center" wrapText="1"/>
    </xf>
    <xf numFmtId="0" fontId="26" fillId="0" borderId="14" xfId="0" applyFont="1" applyBorder="1" applyAlignment="1">
      <alignment horizontal="left" vertical="center" wrapText="1"/>
    </xf>
    <xf numFmtId="0" fontId="26" fillId="0" borderId="41" xfId="0" applyFont="1" applyBorder="1" applyAlignment="1">
      <alignment horizontal="left" vertical="center" wrapText="1"/>
    </xf>
    <xf numFmtId="0" fontId="26" fillId="0" borderId="12" xfId="0" applyFont="1" applyBorder="1" applyAlignment="1">
      <alignment horizontal="left" vertical="center" wrapText="1"/>
    </xf>
    <xf numFmtId="0" fontId="26" fillId="0" borderId="14" xfId="0" applyFont="1" applyBorder="1" applyAlignment="1">
      <alignment horizontal="left" vertical="center"/>
    </xf>
    <xf numFmtId="0" fontId="26" fillId="0" borderId="41" xfId="0" applyFont="1" applyBorder="1" applyAlignment="1">
      <alignment horizontal="left" vertical="center"/>
    </xf>
    <xf numFmtId="0" fontId="31" fillId="0" borderId="14" xfId="0" applyFont="1" applyBorder="1" applyAlignment="1">
      <alignment horizontal="left" vertical="center"/>
    </xf>
    <xf numFmtId="0" fontId="31" fillId="0" borderId="41" xfId="0" applyFont="1" applyBorder="1" applyAlignment="1">
      <alignment horizontal="left" vertical="center"/>
    </xf>
    <xf numFmtId="0" fontId="5" fillId="21" borderId="31" xfId="0" applyFont="1" applyFill="1" applyBorder="1" applyAlignment="1">
      <alignment vertical="center"/>
    </xf>
    <xf numFmtId="0" fontId="0" fillId="21" borderId="34" xfId="0" applyFill="1" applyBorder="1" applyAlignment="1">
      <alignment vertical="center"/>
    </xf>
    <xf numFmtId="0" fontId="0" fillId="21" borderId="20" xfId="0" applyFill="1" applyBorder="1" applyAlignment="1">
      <alignment vertical="center"/>
    </xf>
    <xf numFmtId="0" fontId="31" fillId="0" borderId="12" xfId="0" applyFont="1" applyBorder="1" applyAlignment="1">
      <alignment vertical="center" wrapText="1"/>
    </xf>
    <xf numFmtId="0" fontId="26" fillId="0" borderId="31" xfId="0" applyFont="1" applyBorder="1" applyAlignment="1">
      <alignment horizontal="center" vertical="center"/>
    </xf>
    <xf numFmtId="0" fontId="26" fillId="0" borderId="34" xfId="0" applyFont="1" applyBorder="1" applyAlignment="1">
      <alignment horizontal="center" vertical="center"/>
    </xf>
    <xf numFmtId="0" fontId="26" fillId="0" borderId="20" xfId="0" applyFont="1" applyBorder="1" applyAlignment="1">
      <alignment horizontal="center" vertical="center"/>
    </xf>
    <xf numFmtId="0" fontId="4" fillId="4" borderId="40" xfId="0" applyFont="1" applyFill="1" applyBorder="1" applyAlignment="1">
      <alignment horizontal="center" vertical="center"/>
    </xf>
    <xf numFmtId="0" fontId="26" fillId="0" borderId="27" xfId="0" applyFont="1" applyBorder="1" applyAlignment="1">
      <alignment vertical="center" wrapText="1"/>
    </xf>
    <xf numFmtId="0" fontId="26" fillId="0" borderId="28" xfId="0" applyFont="1" applyBorder="1" applyAlignment="1">
      <alignment vertical="center" wrapText="1"/>
    </xf>
    <xf numFmtId="0" fontId="24" fillId="0" borderId="0" xfId="0" applyFont="1" applyAlignment="1">
      <alignment horizontal="center"/>
    </xf>
    <xf numFmtId="0" fontId="20" fillId="0" borderId="0" xfId="0" applyFont="1" applyAlignment="1">
      <alignment horizontal="center"/>
    </xf>
    <xf numFmtId="165" fontId="43" fillId="11" borderId="25" xfId="0" applyNumberFormat="1" applyFont="1" applyFill="1" applyBorder="1" applyAlignment="1">
      <alignment horizontal="center" vertical="center"/>
    </xf>
    <xf numFmtId="0" fontId="0" fillId="0" borderId="26" xfId="0" applyBorder="1"/>
    <xf numFmtId="0" fontId="27" fillId="5" borderId="25" xfId="0" applyFont="1" applyFill="1" applyBorder="1" applyAlignment="1">
      <alignment horizontal="center" vertical="top" wrapText="1"/>
    </xf>
    <xf numFmtId="0" fontId="27" fillId="5" borderId="26" xfId="0" applyFont="1" applyFill="1" applyBorder="1" applyAlignment="1">
      <alignment horizontal="center" vertical="top" wrapText="1"/>
    </xf>
    <xf numFmtId="0" fontId="47" fillId="0" borderId="25" xfId="0" applyFont="1" applyBorder="1" applyAlignment="1">
      <alignment horizontal="center" vertical="center"/>
    </xf>
    <xf numFmtId="0" fontId="47" fillId="0" borderId="42" xfId="0" applyFont="1" applyBorder="1" applyAlignment="1">
      <alignment horizontal="center" vertical="center"/>
    </xf>
    <xf numFmtId="0" fontId="47" fillId="0" borderId="26" xfId="0" applyFont="1" applyBorder="1" applyAlignment="1">
      <alignment horizontal="center" vertical="center"/>
    </xf>
    <xf numFmtId="0" fontId="10" fillId="0" borderId="42" xfId="0" applyFont="1" applyBorder="1" applyAlignment="1">
      <alignment horizontal="center" vertical="center"/>
    </xf>
    <xf numFmtId="0" fontId="10" fillId="0" borderId="26" xfId="0" applyFont="1" applyBorder="1" applyAlignment="1">
      <alignment horizontal="center" vertical="center"/>
    </xf>
    <xf numFmtId="0" fontId="26" fillId="0" borderId="11" xfId="0" applyFont="1" applyBorder="1" applyAlignment="1">
      <alignment vertical="top" wrapText="1"/>
    </xf>
    <xf numFmtId="0" fontId="0" fillId="0" borderId="43" xfId="0" applyBorder="1" applyAlignment="1">
      <alignment vertical="top" wrapText="1"/>
    </xf>
    <xf numFmtId="0" fontId="0" fillId="0" borderId="0" xfId="0" applyAlignment="1">
      <alignment horizontal="center" wrapText="1"/>
    </xf>
    <xf numFmtId="0" fontId="10" fillId="0" borderId="4" xfId="0" applyFont="1" applyBorder="1" applyAlignment="1">
      <alignment horizontal="center" vertical="center"/>
    </xf>
    <xf numFmtId="0" fontId="21" fillId="0" borderId="4" xfId="0" applyFont="1" applyBorder="1" applyAlignment="1">
      <alignment horizontal="center" vertical="center"/>
    </xf>
  </cellXfs>
  <cellStyles count="5">
    <cellStyle name="Lien hypertexte" xfId="2" builtinId="8"/>
    <cellStyle name="Milliers" xfId="1" builtinId="3"/>
    <cellStyle name="Normal" xfId="0" builtinId="0"/>
    <cellStyle name="Normal 2" xfId="4" xr:uid="{00000000-0005-0000-0000-000003000000}"/>
    <cellStyle name="Pourcentage" xfId="3"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0C2577"/>
      <rgbColor rgb="0000685C"/>
      <rgbColor rgb="008C8984"/>
      <rgbColor rgb="0068217A"/>
      <rgbColor rgb="00EFB22D"/>
      <rgbColor rgb="008977BA"/>
      <rgbColor rgb="009B301C"/>
      <rgbColor rgb="00C41E3A"/>
      <rgbColor rgb="00E6E6E6"/>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By DRAM</a:t>
            </a:r>
          </a:p>
        </c:rich>
      </c:tx>
      <c:layout>
        <c:manualLayout>
          <c:xMode val="edge"/>
          <c:yMode val="edge"/>
          <c:x val="0.11015141465848086"/>
          <c:y val="1.5384817844844603E-2"/>
        </c:manualLayout>
      </c:layout>
      <c:overlay val="0"/>
      <c:spPr>
        <a:noFill/>
        <a:ln w="25400">
          <a:noFill/>
        </a:ln>
      </c:spPr>
    </c:title>
    <c:autoTitleDeleted val="0"/>
    <c:plotArea>
      <c:layout>
        <c:manualLayout>
          <c:layoutTarget val="inner"/>
          <c:xMode val="edge"/>
          <c:yMode val="edge"/>
          <c:x val="0.17278635932686745"/>
          <c:y val="0.19076951738208742"/>
          <c:w val="0.35853169560324982"/>
          <c:h val="0.74461650333008411"/>
        </c:manualLayout>
      </c:layout>
      <c:barChart>
        <c:barDir val="col"/>
        <c:grouping val="stacked"/>
        <c:varyColors val="0"/>
        <c:ser>
          <c:idx val="1"/>
          <c:order val="0"/>
          <c:tx>
            <c:strRef>
              <c:f>Summary!$C$11</c:f>
              <c:strCache>
                <c:ptCount val="1"/>
                <c:pt idx="0">
                  <c:v>Total Activate Power</c:v>
                </c:pt>
              </c:strCache>
            </c:strRef>
          </c:tx>
          <c:spPr>
            <a:solidFill>
              <a:srgbClr val="EE3424"/>
            </a:solidFill>
            <a:ln w="12700">
              <a:solidFill>
                <a:srgbClr val="000000"/>
              </a:solidFill>
              <a:prstDash val="solid"/>
            </a:ln>
          </c:spPr>
          <c:invertIfNegative val="0"/>
          <c:val>
            <c:numRef>
              <c:f>Summary!$D$11</c:f>
              <c:numCache>
                <c:formatCode>0.0</c:formatCode>
                <c:ptCount val="1"/>
                <c:pt idx="0">
                  <c:v>33.354783354783365</c:v>
                </c:pt>
              </c:numCache>
            </c:numRef>
          </c:val>
          <c:extLst>
            <c:ext xmlns:c16="http://schemas.microsoft.com/office/drawing/2014/chart" uri="{C3380CC4-5D6E-409C-BE32-E72D297353CC}">
              <c16:uniqueId val="{00000000-569D-4B11-89FD-AC5A8405361D}"/>
            </c:ext>
          </c:extLst>
        </c:ser>
        <c:ser>
          <c:idx val="2"/>
          <c:order val="1"/>
          <c:tx>
            <c:strRef>
              <c:f>Summary!$C$16</c:f>
              <c:strCache>
                <c:ptCount val="1"/>
                <c:pt idx="0">
                  <c:v>Total RD/WR/Term Power</c:v>
                </c:pt>
              </c:strCache>
            </c:strRef>
          </c:tx>
          <c:spPr>
            <a:solidFill>
              <a:srgbClr val="F68933"/>
            </a:solidFill>
            <a:ln w="12700">
              <a:solidFill>
                <a:srgbClr val="000000"/>
              </a:solidFill>
              <a:prstDash val="solid"/>
            </a:ln>
          </c:spPr>
          <c:invertIfNegative val="0"/>
          <c:val>
            <c:numRef>
              <c:f>Summary!$D$16</c:f>
              <c:numCache>
                <c:formatCode>0.0</c:formatCode>
                <c:ptCount val="1"/>
                <c:pt idx="0">
                  <c:v>213.18286376558996</c:v>
                </c:pt>
              </c:numCache>
            </c:numRef>
          </c:val>
          <c:extLst>
            <c:ext xmlns:c16="http://schemas.microsoft.com/office/drawing/2014/chart" uri="{C3380CC4-5D6E-409C-BE32-E72D297353CC}">
              <c16:uniqueId val="{00000001-569D-4B11-89FD-AC5A8405361D}"/>
            </c:ext>
          </c:extLst>
        </c:ser>
        <c:ser>
          <c:idx val="0"/>
          <c:order val="2"/>
          <c:tx>
            <c:strRef>
              <c:f>Summary!$C$22</c:f>
              <c:strCache>
                <c:ptCount val="1"/>
                <c:pt idx="0">
                  <c:v> Total Background  Power</c:v>
                </c:pt>
              </c:strCache>
            </c:strRef>
          </c:tx>
          <c:spPr>
            <a:solidFill>
              <a:srgbClr val="492F92"/>
            </a:solidFill>
            <a:ln w="12700">
              <a:solidFill>
                <a:srgbClr val="000000"/>
              </a:solidFill>
              <a:prstDash val="solid"/>
            </a:ln>
          </c:spPr>
          <c:invertIfNegative val="0"/>
          <c:val>
            <c:numRef>
              <c:f>Summary!$D$22</c:f>
              <c:numCache>
                <c:formatCode>0.0</c:formatCode>
                <c:ptCount val="1"/>
                <c:pt idx="0">
                  <c:v>25.811584249084248</c:v>
                </c:pt>
              </c:numCache>
            </c:numRef>
          </c:val>
          <c:extLst>
            <c:ext xmlns:c16="http://schemas.microsoft.com/office/drawing/2014/chart" uri="{C3380CC4-5D6E-409C-BE32-E72D297353CC}">
              <c16:uniqueId val="{00000002-569D-4B11-89FD-AC5A8405361D}"/>
            </c:ext>
          </c:extLst>
        </c:ser>
        <c:dLbls>
          <c:showLegendKey val="0"/>
          <c:showVal val="0"/>
          <c:showCatName val="0"/>
          <c:showSerName val="0"/>
          <c:showPercent val="0"/>
          <c:showBubbleSize val="0"/>
        </c:dLbls>
        <c:gapWidth val="150"/>
        <c:overlap val="100"/>
        <c:axId val="299790696"/>
        <c:axId val="299791088"/>
      </c:barChart>
      <c:catAx>
        <c:axId val="299790696"/>
        <c:scaling>
          <c:orientation val="minMax"/>
        </c:scaling>
        <c:delete val="1"/>
        <c:axPos val="b"/>
        <c:majorTickMark val="out"/>
        <c:minorTickMark val="none"/>
        <c:tickLblPos val="none"/>
        <c:crossAx val="299791088"/>
        <c:crosses val="autoZero"/>
        <c:auto val="1"/>
        <c:lblAlgn val="ctr"/>
        <c:lblOffset val="100"/>
        <c:noMultiLvlLbl val="0"/>
      </c:catAx>
      <c:valAx>
        <c:axId val="299791088"/>
        <c:scaling>
          <c:orientation val="minMax"/>
        </c:scaling>
        <c:delete val="0"/>
        <c:axPos val="l"/>
        <c:majorGridlines>
          <c:spPr>
            <a:ln w="3175">
              <a:solidFill>
                <a:srgbClr val="000000"/>
              </a:solidFill>
              <a:prstDash val="solid"/>
            </a:ln>
          </c:spPr>
        </c:majorGridlines>
        <c:title>
          <c:tx>
            <c:rich>
              <a:bodyPr/>
              <a:lstStyle/>
              <a:p>
                <a:pPr>
                  <a:defRPr sz="950" b="1" i="0" u="none" strike="noStrike" baseline="0">
                    <a:solidFill>
                      <a:srgbClr val="000000"/>
                    </a:solidFill>
                    <a:latin typeface="Arial"/>
                    <a:ea typeface="Arial"/>
                    <a:cs typeface="Arial"/>
                  </a:defRPr>
                </a:pPr>
                <a:r>
                  <a:rPr lang="en-US"/>
                  <a:t>Device Power (mW)</a:t>
                </a:r>
              </a:p>
            </c:rich>
          </c:tx>
          <c:layout>
            <c:manualLayout>
              <c:xMode val="edge"/>
              <c:yMode val="edge"/>
              <c:x val="5.183585313174946E-2"/>
              <c:y val="0.36615474597708786"/>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Frutiger 55 Roman"/>
                <a:ea typeface="Frutiger 55 Roman"/>
                <a:cs typeface="Frutiger 55 Roman"/>
              </a:defRPr>
            </a:pPr>
            <a:endParaRPr lang="en-US"/>
          </a:p>
        </c:txPr>
        <c:crossAx val="299790696"/>
        <c:crosses val="autoZero"/>
        <c:crossBetween val="between"/>
      </c:valAx>
      <c:spPr>
        <a:solidFill>
          <a:srgbClr val="E6E6E6"/>
        </a:solidFill>
        <a:ln w="3175">
          <a:solidFill>
            <a:srgbClr val="000000"/>
          </a:solidFill>
          <a:prstDash val="solid"/>
        </a:ln>
      </c:spPr>
    </c:plotArea>
    <c:legend>
      <c:legendPos val="r"/>
      <c:layout>
        <c:manualLayout>
          <c:xMode val="edge"/>
          <c:yMode val="edge"/>
          <c:x val="0.55723610142684543"/>
          <c:y val="0.19285533597993842"/>
          <c:w val="0.41252722459368607"/>
          <c:h val="0.22674416394329541"/>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9525">
      <a:noFill/>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paperSize="0" orientation="landscape" horizontalDpi="-4" verticalDpi="-4"/>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en-US"/>
              <a:t>Power Consumption Breakout</a:t>
            </a:r>
          </a:p>
        </c:rich>
      </c:tx>
      <c:layout>
        <c:manualLayout>
          <c:xMode val="edge"/>
          <c:yMode val="edge"/>
          <c:x val="0.63306292898954641"/>
          <c:y val="6.7202242994479494E-2"/>
        </c:manualLayout>
      </c:layout>
      <c:overlay val="0"/>
      <c:spPr>
        <a:noFill/>
        <a:ln w="25400">
          <a:noFill/>
        </a:ln>
      </c:spPr>
    </c:title>
    <c:autoTitleDeleted val="0"/>
    <c:plotArea>
      <c:layout>
        <c:manualLayout>
          <c:layoutTarget val="inner"/>
          <c:xMode val="edge"/>
          <c:yMode val="edge"/>
          <c:x val="8.4912161403553371E-2"/>
          <c:y val="9.4779674510920009E-2"/>
          <c:w val="0.86790266512166858"/>
          <c:h val="0.51732707275653633"/>
        </c:manualLayout>
      </c:layout>
      <c:barChart>
        <c:barDir val="col"/>
        <c:grouping val="clustered"/>
        <c:varyColors val="0"/>
        <c:ser>
          <c:idx val="0"/>
          <c:order val="0"/>
          <c:spPr>
            <a:solidFill>
              <a:srgbClr val="0C2577"/>
            </a:solidFill>
            <a:ln w="12700">
              <a:solidFill>
                <a:srgbClr val="000000"/>
              </a:solidFill>
              <a:prstDash val="solid"/>
            </a:ln>
          </c:spPr>
          <c:invertIfNegative val="0"/>
          <c:dPt>
            <c:idx val="0"/>
            <c:invertIfNegative val="0"/>
            <c:bubble3D val="0"/>
            <c:spPr>
              <a:solidFill>
                <a:srgbClr val="EE3424"/>
              </a:solidFill>
              <a:ln w="12700">
                <a:solidFill>
                  <a:srgbClr val="000000"/>
                </a:solidFill>
                <a:prstDash val="solid"/>
              </a:ln>
            </c:spPr>
            <c:extLst>
              <c:ext xmlns:c16="http://schemas.microsoft.com/office/drawing/2014/chart" uri="{C3380CC4-5D6E-409C-BE32-E72D297353CC}">
                <c16:uniqueId val="{00000001-E277-4F54-A33E-321080DAE405}"/>
              </c:ext>
            </c:extLst>
          </c:dPt>
          <c:dPt>
            <c:idx val="1"/>
            <c:invertIfNegative val="0"/>
            <c:bubble3D val="0"/>
            <c:spPr>
              <a:solidFill>
                <a:srgbClr val="F68933"/>
              </a:solidFill>
              <a:ln w="12700">
                <a:solidFill>
                  <a:srgbClr val="000000"/>
                </a:solidFill>
                <a:prstDash val="solid"/>
              </a:ln>
            </c:spPr>
            <c:extLst>
              <c:ext xmlns:c16="http://schemas.microsoft.com/office/drawing/2014/chart" uri="{C3380CC4-5D6E-409C-BE32-E72D297353CC}">
                <c16:uniqueId val="{00000003-E277-4F54-A33E-321080DAE405}"/>
              </c:ext>
            </c:extLst>
          </c:dPt>
          <c:dPt>
            <c:idx val="2"/>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5-E277-4F54-A33E-321080DAE405}"/>
              </c:ext>
            </c:extLst>
          </c:dPt>
          <c:dPt>
            <c:idx val="3"/>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7-E277-4F54-A33E-321080DAE405}"/>
              </c:ext>
            </c:extLst>
          </c:dPt>
          <c:dPt>
            <c:idx val="4"/>
            <c:invertIfNegative val="0"/>
            <c:bubble3D val="0"/>
            <c:spPr>
              <a:solidFill>
                <a:srgbClr val="FF9900"/>
              </a:solidFill>
              <a:ln w="12700">
                <a:solidFill>
                  <a:srgbClr val="000000"/>
                </a:solidFill>
                <a:prstDash val="solid"/>
              </a:ln>
            </c:spPr>
            <c:extLst>
              <c:ext xmlns:c16="http://schemas.microsoft.com/office/drawing/2014/chart" uri="{C3380CC4-5D6E-409C-BE32-E72D297353CC}">
                <c16:uniqueId val="{00000009-E277-4F54-A33E-321080DAE405}"/>
              </c:ext>
            </c:extLst>
          </c:dPt>
          <c:dPt>
            <c:idx val="5"/>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B-E277-4F54-A33E-321080DAE405}"/>
              </c:ext>
            </c:extLst>
          </c:dPt>
          <c:dPt>
            <c:idx val="6"/>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D-E277-4F54-A33E-321080DAE405}"/>
              </c:ext>
            </c:extLst>
          </c:dPt>
          <c:dPt>
            <c:idx val="7"/>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0F-E277-4F54-A33E-321080DAE405}"/>
              </c:ext>
            </c:extLst>
          </c:dPt>
          <c:dPt>
            <c:idx val="8"/>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1-E277-4F54-A33E-321080DAE405}"/>
              </c:ext>
            </c:extLst>
          </c:dPt>
          <c:dPt>
            <c:idx val="9"/>
            <c:invertIfNegative val="0"/>
            <c:bubble3D val="0"/>
            <c:spPr>
              <a:solidFill>
                <a:srgbClr val="072A5E"/>
              </a:solidFill>
              <a:ln w="12700">
                <a:solidFill>
                  <a:srgbClr val="000000"/>
                </a:solidFill>
                <a:prstDash val="solid"/>
              </a:ln>
            </c:spPr>
            <c:extLst>
              <c:ext xmlns:c16="http://schemas.microsoft.com/office/drawing/2014/chart" uri="{C3380CC4-5D6E-409C-BE32-E72D297353CC}">
                <c16:uniqueId val="{00000013-E277-4F54-A33E-321080DAE405}"/>
              </c:ext>
            </c:extLst>
          </c:dPt>
          <c:dPt>
            <c:idx val="10"/>
            <c:invertIfNegative val="0"/>
            <c:bubble3D val="0"/>
            <c:spPr>
              <a:solidFill>
                <a:srgbClr val="492F92"/>
              </a:solidFill>
              <a:ln w="12700">
                <a:solidFill>
                  <a:srgbClr val="000000"/>
                </a:solidFill>
                <a:prstDash val="solid"/>
              </a:ln>
            </c:spPr>
            <c:extLst>
              <c:ext xmlns:c16="http://schemas.microsoft.com/office/drawing/2014/chart" uri="{C3380CC4-5D6E-409C-BE32-E72D297353CC}">
                <c16:uniqueId val="{00000015-E277-4F54-A33E-321080DAE405}"/>
              </c:ext>
            </c:extLst>
          </c:dPt>
          <c:cat>
            <c:strRef>
              <c:f>Summary!$P$10:$P$20</c:f>
              <c:strCache>
                <c:ptCount val="11"/>
                <c:pt idx="0">
                  <c:v>ACT</c:v>
                </c:pt>
                <c:pt idx="1">
                  <c:v>RD</c:v>
                </c:pt>
                <c:pt idx="2">
                  <c:v>WR</c:v>
                </c:pt>
                <c:pt idx="3">
                  <c:v>READ I/O</c:v>
                </c:pt>
                <c:pt idx="4">
                  <c:v>Write ODT</c:v>
                </c:pt>
                <c:pt idx="5">
                  <c:v>ACT_STBY</c:v>
                </c:pt>
                <c:pt idx="6">
                  <c:v>PRE_STBY</c:v>
                </c:pt>
                <c:pt idx="7">
                  <c:v>ACT_PDN</c:v>
                </c:pt>
                <c:pt idx="8">
                  <c:v>PRE_PDN</c:v>
                </c:pt>
                <c:pt idx="9">
                  <c:v>REF</c:v>
                </c:pt>
                <c:pt idx="10">
                  <c:v>TERM 2nd rank</c:v>
                </c:pt>
              </c:strCache>
            </c:strRef>
          </c:cat>
          <c:val>
            <c:numRef>
              <c:f>Summary!$Q$10:$Q$20</c:f>
              <c:numCache>
                <c:formatCode>0.0</c:formatCode>
                <c:ptCount val="11"/>
                <c:pt idx="0">
                  <c:v>33.354783354783365</c:v>
                </c:pt>
                <c:pt idx="1">
                  <c:v>21.000000000000007</c:v>
                </c:pt>
                <c:pt idx="2">
                  <c:v>23.357142857142858</c:v>
                </c:pt>
                <c:pt idx="3">
                  <c:v>32.708931783403592</c:v>
                </c:pt>
                <c:pt idx="4">
                  <c:v>136.11678912504351</c:v>
                </c:pt>
                <c:pt idx="5">
                  <c:v>14.866071428571427</c:v>
                </c:pt>
                <c:pt idx="6">
                  <c:v>3.0803571428571441</c:v>
                </c:pt>
                <c:pt idx="7">
                  <c:v>2.9464285714285716</c:v>
                </c:pt>
                <c:pt idx="8">
                  <c:v>0.66964285714285721</c:v>
                </c:pt>
                <c:pt idx="9">
                  <c:v>4.24908424908425</c:v>
                </c:pt>
                <c:pt idx="10">
                  <c:v>0</c:v>
                </c:pt>
              </c:numCache>
            </c:numRef>
          </c:val>
          <c:extLst>
            <c:ext xmlns:c16="http://schemas.microsoft.com/office/drawing/2014/chart" uri="{C3380CC4-5D6E-409C-BE32-E72D297353CC}">
              <c16:uniqueId val="{00000016-E277-4F54-A33E-321080DAE405}"/>
            </c:ext>
          </c:extLst>
        </c:ser>
        <c:dLbls>
          <c:showLegendKey val="0"/>
          <c:showVal val="0"/>
          <c:showCatName val="0"/>
          <c:showSerName val="0"/>
          <c:showPercent val="0"/>
          <c:showBubbleSize val="0"/>
        </c:dLbls>
        <c:gapWidth val="150"/>
        <c:axId val="299791872"/>
        <c:axId val="299792264"/>
      </c:barChart>
      <c:catAx>
        <c:axId val="299791872"/>
        <c:scaling>
          <c:orientation val="minMax"/>
        </c:scaling>
        <c:delete val="0"/>
        <c:axPos val="b"/>
        <c:numFmt formatCode="General" sourceLinked="1"/>
        <c:majorTickMark val="out"/>
        <c:minorTickMark val="none"/>
        <c:tickLblPos val="nextTo"/>
        <c:spPr>
          <a:ln w="3175">
            <a:solidFill>
              <a:srgbClr val="000000"/>
            </a:solidFill>
            <a:prstDash val="solid"/>
          </a:ln>
        </c:spPr>
        <c:txPr>
          <a:bodyPr rot="2460000" vert="horz"/>
          <a:lstStyle/>
          <a:p>
            <a:pPr>
              <a:defRPr sz="1100" b="0" i="0" u="none" strike="noStrike" baseline="0">
                <a:solidFill>
                  <a:srgbClr val="000000"/>
                </a:solidFill>
                <a:latin typeface="Frutiger 55 Roman"/>
                <a:ea typeface="Frutiger 55 Roman"/>
                <a:cs typeface="Frutiger 55 Roman"/>
              </a:defRPr>
            </a:pPr>
            <a:endParaRPr lang="en-US"/>
          </a:p>
        </c:txPr>
        <c:crossAx val="299792264"/>
        <c:crosses val="autoZero"/>
        <c:auto val="1"/>
        <c:lblAlgn val="ctr"/>
        <c:lblOffset val="100"/>
        <c:tickLblSkip val="1"/>
        <c:tickMarkSkip val="1"/>
        <c:noMultiLvlLbl val="0"/>
      </c:catAx>
      <c:valAx>
        <c:axId val="299792264"/>
        <c:scaling>
          <c:orientation val="minMax"/>
        </c:scaling>
        <c:delete val="0"/>
        <c:axPos val="l"/>
        <c:majorGridlines>
          <c:spPr>
            <a:ln w="3175">
              <a:solidFill>
                <a:srgbClr val="000000"/>
              </a:solidFill>
              <a:prstDash val="solid"/>
            </a:ln>
          </c:spPr>
        </c:majorGridlines>
        <c:title>
          <c:tx>
            <c:rich>
              <a:bodyPr/>
              <a:lstStyle/>
              <a:p>
                <a:pPr>
                  <a:defRPr sz="1175" b="1" i="0" u="none" strike="noStrike" baseline="0">
                    <a:solidFill>
                      <a:srgbClr val="000000"/>
                    </a:solidFill>
                    <a:latin typeface="Arial"/>
                    <a:ea typeface="Arial"/>
                    <a:cs typeface="Arial"/>
                  </a:defRPr>
                </a:pPr>
                <a:r>
                  <a:rPr lang="en-US"/>
                  <a:t>Power (mW)</a:t>
                </a:r>
              </a:p>
            </c:rich>
          </c:tx>
          <c:layout>
            <c:manualLayout>
              <c:xMode val="edge"/>
              <c:yMode val="edge"/>
              <c:x val="7.9022768202084823E-4"/>
              <c:y val="0.34634822693946954"/>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Frutiger 55 Roman"/>
                <a:ea typeface="Frutiger 55 Roman"/>
                <a:cs typeface="Frutiger 55 Roman"/>
              </a:defRPr>
            </a:pPr>
            <a:endParaRPr lang="en-US"/>
          </a:p>
        </c:txPr>
        <c:crossAx val="299791872"/>
        <c:crosses val="autoZero"/>
        <c:crossBetween val="between"/>
      </c:valAx>
      <c:spPr>
        <a:solidFill>
          <a:srgbClr val="E6E6E6"/>
        </a:solidFill>
        <a:ln w="3175">
          <a:solidFill>
            <a:srgbClr val="000000"/>
          </a:solidFill>
          <a:prstDash val="solid"/>
        </a:ln>
      </c:spPr>
    </c:plotArea>
    <c:plotVisOnly val="1"/>
    <c:dispBlanksAs val="gap"/>
    <c:showDLblsOverMax val="0"/>
  </c:chart>
  <c:spPr>
    <a:solidFill>
      <a:srgbClr val="FFFFFF"/>
    </a:solidFill>
    <a:ln w="9525">
      <a:noFill/>
    </a:ln>
  </c:spPr>
  <c:txPr>
    <a:bodyPr/>
    <a:lstStyle/>
    <a:p>
      <a:pPr>
        <a:defRPr sz="1475" b="0" i="0" u="none" strike="noStrike" baseline="0">
          <a:solidFill>
            <a:srgbClr val="000000"/>
          </a:solidFill>
          <a:latin typeface="Arial"/>
          <a:ea typeface="Arial"/>
          <a:cs typeface="Arial"/>
        </a:defRPr>
      </a:pPr>
      <a:endParaRPr lang="en-US"/>
    </a:p>
  </c:txPr>
  <c:printSettings>
    <c:headerFooter alignWithMargins="0"/>
    <c:pageMargins b="1" l="0.750000000000001" r="0.750000000000001" t="1" header="0.5" footer="0.5"/>
    <c:pageSetup orientation="landscape"/>
  </c:printSettings>
</c:chartSpace>
</file>

<file path=xl/ctrlProps/ctrlProp1.xml><?xml version="1.0" encoding="utf-8"?>
<formControlPr xmlns="http://schemas.microsoft.com/office/spreadsheetml/2009/9/main" objectType="Drop" dropLines="3" dropStyle="combo" dx="15" fmlaLink="$K$1" fmlaRange="$K$3:$K$5" noThreeD="1" sel="3" val="0"/>
</file>

<file path=xl/ctrlProps/ctrlProp2.xml><?xml version="1.0" encoding="utf-8"?>
<formControlPr xmlns="http://schemas.microsoft.com/office/spreadsheetml/2009/9/main" objectType="Drop" dropLines="10" dropStyle="combo" dx="15" fmlaLink="$H$1" fmlaRange="$H$3:$H$12" noThreeD="1" sel="6" val="0"/>
</file>

<file path=xl/ctrlProps/ctrlProp3.xml><?xml version="1.0" encoding="utf-8"?>
<formControlPr xmlns="http://schemas.microsoft.com/office/spreadsheetml/2009/9/main" objectType="Drop" dropLines="5" dropStyle="combo" dx="15" fmlaLink="$G$1" fmlaRange="$G$3:$G$7" noThreeD="1" sel="2" val="0"/>
</file>

<file path=xl/ctrlProps/ctrlProp4.xml><?xml version="1.0" encoding="utf-8"?>
<formControlPr xmlns="http://schemas.microsoft.com/office/spreadsheetml/2009/9/main" objectType="Drop" dropLines="3" dropStyle="combo" dx="15" fmlaLink="$K$1" fmlaRange="$K$3:$K$5" noThreeD="1" sel="3" val="0"/>
</file>

<file path=xl/ctrlProps/ctrlProp5.xml><?xml version="1.0" encoding="utf-8"?>
<formControlPr xmlns="http://schemas.microsoft.com/office/spreadsheetml/2009/9/main" objectType="Drop" dropLines="10" dropStyle="combo" dx="15" fmlaLink="$H$1" fmlaRange="$H$3:$H$12" noThreeD="1" sel="6" val="0"/>
</file>

<file path=xl/ctrlProps/ctrlProp6.xml><?xml version="1.0" encoding="utf-8"?>
<formControlPr xmlns="http://schemas.microsoft.com/office/spreadsheetml/2009/9/main" objectType="Drop" dropLines="2" dropStyle="combo" dx="15" fmlaLink="$I$1" fmlaRange="$I$3:$I$4" noThreeD="1" sel="2" val="0"/>
</file>

<file path=xl/ctrlProps/ctrlProp7.xml><?xml version="1.0" encoding="utf-8"?>
<formControlPr xmlns="http://schemas.microsoft.com/office/spreadsheetml/2009/9/main" objectType="Drop" dropLines="2" dropStyle="combo" dx="31" fmlaLink="$K$12" fmlaRange="$K$8:$K$9"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6350</xdr:rowOff>
    </xdr:from>
    <xdr:to>
      <xdr:col>4</xdr:col>
      <xdr:colOff>0</xdr:colOff>
      <xdr:row>20</xdr:row>
      <xdr:rowOff>6350</xdr:rowOff>
    </xdr:to>
    <xdr:sp macro="" textlink="">
      <xdr:nvSpPr>
        <xdr:cNvPr id="3075" name="Rectangle 3">
          <a:extLst>
            <a:ext uri="{FF2B5EF4-FFF2-40B4-BE49-F238E27FC236}">
              <a16:creationId xmlns:a16="http://schemas.microsoft.com/office/drawing/2014/main" id="{00000000-0008-0000-0000-0000030C0000}"/>
            </a:ext>
          </a:extLst>
        </xdr:cNvPr>
        <xdr:cNvSpPr>
          <a:spLocks noChangeArrowheads="1"/>
        </xdr:cNvSpPr>
      </xdr:nvSpPr>
      <xdr:spPr bwMode="auto">
        <a:xfrm>
          <a:off x="615950" y="177800"/>
          <a:ext cx="5473700" cy="5029200"/>
        </a:xfrm>
        <a:prstGeom prst="rect">
          <a:avLst/>
        </a:prstGeom>
        <a:noFill/>
        <a:ln w="9525">
          <a:solidFill>
            <a:srgbClr val="000000"/>
          </a:solidFill>
          <a:miter lim="800000"/>
          <a:headEnd/>
          <a:tailEnd/>
        </a:ln>
        <a:effectLst>
          <a:outerShdw dist="35921" dir="2700000" algn="ctr" rotWithShape="0">
            <a:srgbClr val="808080"/>
          </a:outerShdw>
        </a:effectLst>
      </xdr:spPr>
      <xdr:txBody>
        <a:bodyPr/>
        <a:lstStyle/>
        <a:p>
          <a:endParaRPr lang="en-US"/>
        </a:p>
      </xdr:txBody>
    </xdr:sp>
    <xdr:clientData/>
  </xdr:twoCellAnchor>
  <xdr:twoCellAnchor editAs="oneCell">
    <xdr:from>
      <xdr:col>3</xdr:col>
      <xdr:colOff>2190750</xdr:colOff>
      <xdr:row>1</xdr:row>
      <xdr:rowOff>85725</xdr:rowOff>
    </xdr:from>
    <xdr:to>
      <xdr:col>3</xdr:col>
      <xdr:colOff>3867150</xdr:colOff>
      <xdr:row>4</xdr:row>
      <xdr:rowOff>57150</xdr:rowOff>
    </xdr:to>
    <xdr:pic>
      <xdr:nvPicPr>
        <xdr:cNvPr id="3474" name="Picture 392">
          <a:extLst>
            <a:ext uri="{FF2B5EF4-FFF2-40B4-BE49-F238E27FC236}">
              <a16:creationId xmlns:a16="http://schemas.microsoft.com/office/drawing/2014/main" id="{00000000-0008-0000-0000-0000920D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4038600" y="257175"/>
          <a:ext cx="1676400" cy="457200"/>
        </a:xfrm>
        <a:prstGeom prst="rect">
          <a:avLst/>
        </a:prstGeom>
        <a:noFill/>
        <a:ln w="1">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6096000</xdr:colOff>
      <xdr:row>0</xdr:row>
      <xdr:rowOff>57150</xdr:rowOff>
    </xdr:from>
    <xdr:to>
      <xdr:col>2</xdr:col>
      <xdr:colOff>7772400</xdr:colOff>
      <xdr:row>3</xdr:row>
      <xdr:rowOff>28575</xdr:rowOff>
    </xdr:to>
    <xdr:pic>
      <xdr:nvPicPr>
        <xdr:cNvPr id="6345" name="Picture 392">
          <a:extLst>
            <a:ext uri="{FF2B5EF4-FFF2-40B4-BE49-F238E27FC236}">
              <a16:creationId xmlns:a16="http://schemas.microsoft.com/office/drawing/2014/main" id="{00000000-0008-0000-0100-0000C91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734175" y="57150"/>
          <a:ext cx="1676400" cy="457200"/>
        </a:xfrm>
        <a:prstGeom prst="rect">
          <a:avLst/>
        </a:prstGeom>
        <a:noFill/>
        <a:ln w="1">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123825</xdr:colOff>
      <xdr:row>0</xdr:row>
      <xdr:rowOff>85725</xdr:rowOff>
    </xdr:from>
    <xdr:to>
      <xdr:col>1</xdr:col>
      <xdr:colOff>781050</xdr:colOff>
      <xdr:row>3</xdr:row>
      <xdr:rowOff>57150</xdr:rowOff>
    </xdr:to>
    <xdr:pic>
      <xdr:nvPicPr>
        <xdr:cNvPr id="7369" name="Picture 392">
          <a:extLst>
            <a:ext uri="{FF2B5EF4-FFF2-40B4-BE49-F238E27FC236}">
              <a16:creationId xmlns:a16="http://schemas.microsoft.com/office/drawing/2014/main" id="{00000000-0008-0000-0200-0000C91C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3825" y="85725"/>
          <a:ext cx="1676400" cy="457200"/>
        </a:xfrm>
        <a:prstGeom prst="rect">
          <a:avLst/>
        </a:prstGeom>
        <a:noFill/>
        <a:ln w="1">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57150</xdr:colOff>
      <xdr:row>5</xdr:row>
      <xdr:rowOff>161924</xdr:rowOff>
    </xdr:from>
    <xdr:to>
      <xdr:col>4</xdr:col>
      <xdr:colOff>228600</xdr:colOff>
      <xdr:row>11</xdr:row>
      <xdr:rowOff>44449</xdr:rowOff>
    </xdr:to>
    <xdr:sp macro="" textlink="">
      <xdr:nvSpPr>
        <xdr:cNvPr id="5107" name="AutoShape 9">
          <a:extLst>
            <a:ext uri="{FF2B5EF4-FFF2-40B4-BE49-F238E27FC236}">
              <a16:creationId xmlns:a16="http://schemas.microsoft.com/office/drawing/2014/main" id="{00000000-0008-0000-0300-0000F3130000}"/>
            </a:ext>
          </a:extLst>
        </xdr:cNvPr>
        <xdr:cNvSpPr>
          <a:spLocks/>
        </xdr:cNvSpPr>
      </xdr:nvSpPr>
      <xdr:spPr bwMode="auto">
        <a:xfrm>
          <a:off x="6178550" y="1444624"/>
          <a:ext cx="171450" cy="1190625"/>
        </a:xfrm>
        <a:prstGeom prst="rightBrace">
          <a:avLst>
            <a:gd name="adj1" fmla="val 51852"/>
            <a:gd name="adj2" fmla="val 50000"/>
          </a:avLst>
        </a:prstGeom>
        <a:noFill/>
        <a:ln w="28575">
          <a:solidFill>
            <a:srgbClr val="00685C"/>
          </a:solidFill>
          <a:round/>
          <a:headEnd/>
          <a:tailEnd/>
        </a:ln>
      </xdr:spPr>
    </xdr:sp>
    <xdr:clientData/>
  </xdr:twoCellAnchor>
  <xdr:twoCellAnchor editAs="oneCell">
    <xdr:from>
      <xdr:col>4</xdr:col>
      <xdr:colOff>295275</xdr:colOff>
      <xdr:row>5</xdr:row>
      <xdr:rowOff>133350</xdr:rowOff>
    </xdr:from>
    <xdr:to>
      <xdr:col>4</xdr:col>
      <xdr:colOff>2714625</xdr:colOff>
      <xdr:row>11</xdr:row>
      <xdr:rowOff>8890</xdr:rowOff>
    </xdr:to>
    <xdr:sp macro="" textlink="">
      <xdr:nvSpPr>
        <xdr:cNvPr id="4106" name="Text Box 10">
          <a:extLst>
            <a:ext uri="{FF2B5EF4-FFF2-40B4-BE49-F238E27FC236}">
              <a16:creationId xmlns:a16="http://schemas.microsoft.com/office/drawing/2014/main" id="{00000000-0008-0000-0300-00000A100000}"/>
            </a:ext>
          </a:extLst>
        </xdr:cNvPr>
        <xdr:cNvSpPr txBox="1">
          <a:spLocks noChangeArrowheads="1"/>
        </xdr:cNvSpPr>
      </xdr:nvSpPr>
      <xdr:spPr bwMode="auto">
        <a:xfrm>
          <a:off x="6416675" y="1416050"/>
          <a:ext cx="2419350" cy="1247140"/>
        </a:xfrm>
        <a:prstGeom prst="rect">
          <a:avLst/>
        </a:prstGeom>
        <a:solidFill>
          <a:srgbClr val="00685C"/>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Inputs for DRAM selection are chosen here.</a:t>
          </a:r>
        </a:p>
        <a:p>
          <a:pPr algn="l" rtl="0">
            <a:defRPr sz="1000"/>
          </a:pPr>
          <a:endParaRPr lang="en-US" sz="1200" b="1" i="0" u="none" strike="noStrike" baseline="0">
            <a:solidFill>
              <a:srgbClr val="FFFFFF"/>
            </a:solidFill>
            <a:latin typeface="Arial"/>
            <a:cs typeface="Arial"/>
          </a:endParaRPr>
        </a:p>
        <a:p>
          <a:pPr algn="l" rtl="0">
            <a:defRPr sz="1000"/>
          </a:pPr>
          <a:r>
            <a:rPr lang="en-US" sz="1200" b="1" i="0" u="none" strike="noStrike" baseline="0">
              <a:solidFill>
                <a:srgbClr val="FFFFFF"/>
              </a:solidFill>
              <a:latin typeface="Arial"/>
              <a:cs typeface="Arial"/>
            </a:rPr>
            <a:t>The table below is automatically updated from Device Spec Worksheet</a:t>
          </a:r>
        </a:p>
      </xdr:txBody>
    </xdr:sp>
    <xdr:clientData/>
  </xdr:twoCellAnchor>
  <xdr:twoCellAnchor>
    <xdr:from>
      <xdr:col>4</xdr:col>
      <xdr:colOff>57150</xdr:colOff>
      <xdr:row>13</xdr:row>
      <xdr:rowOff>9525</xdr:rowOff>
    </xdr:from>
    <xdr:to>
      <xdr:col>4</xdr:col>
      <xdr:colOff>247650</xdr:colOff>
      <xdr:row>36</xdr:row>
      <xdr:rowOff>190500</xdr:rowOff>
    </xdr:to>
    <xdr:sp macro="" textlink="">
      <xdr:nvSpPr>
        <xdr:cNvPr id="5109" name="AutoShape 11">
          <a:extLst>
            <a:ext uri="{FF2B5EF4-FFF2-40B4-BE49-F238E27FC236}">
              <a16:creationId xmlns:a16="http://schemas.microsoft.com/office/drawing/2014/main" id="{00000000-0008-0000-0300-0000F5130000}"/>
            </a:ext>
          </a:extLst>
        </xdr:cNvPr>
        <xdr:cNvSpPr>
          <a:spLocks/>
        </xdr:cNvSpPr>
      </xdr:nvSpPr>
      <xdr:spPr bwMode="auto">
        <a:xfrm>
          <a:off x="5857875" y="2695575"/>
          <a:ext cx="190500" cy="4562475"/>
        </a:xfrm>
        <a:prstGeom prst="rightBrace">
          <a:avLst>
            <a:gd name="adj1" fmla="val 199583"/>
            <a:gd name="adj2" fmla="val 50000"/>
          </a:avLst>
        </a:prstGeom>
        <a:noFill/>
        <a:ln w="28575">
          <a:solidFill>
            <a:srgbClr val="0C2577"/>
          </a:solidFill>
          <a:round/>
          <a:headEnd/>
          <a:tailEnd/>
        </a:ln>
      </xdr:spPr>
    </xdr:sp>
    <xdr:clientData/>
  </xdr:twoCellAnchor>
  <xdr:twoCellAnchor editAs="oneCell">
    <xdr:from>
      <xdr:col>4</xdr:col>
      <xdr:colOff>304800</xdr:colOff>
      <xdr:row>22</xdr:row>
      <xdr:rowOff>66675</xdr:rowOff>
    </xdr:from>
    <xdr:to>
      <xdr:col>4</xdr:col>
      <xdr:colOff>3073400</xdr:colOff>
      <xdr:row>29</xdr:row>
      <xdr:rowOff>28575</xdr:rowOff>
    </xdr:to>
    <xdr:sp macro="" textlink="">
      <xdr:nvSpPr>
        <xdr:cNvPr id="4109" name="Text Box 13">
          <a:extLst>
            <a:ext uri="{FF2B5EF4-FFF2-40B4-BE49-F238E27FC236}">
              <a16:creationId xmlns:a16="http://schemas.microsoft.com/office/drawing/2014/main" id="{00000000-0008-0000-0300-00000D100000}"/>
            </a:ext>
          </a:extLst>
        </xdr:cNvPr>
        <xdr:cNvSpPr txBox="1">
          <a:spLocks noChangeArrowheads="1"/>
        </xdr:cNvSpPr>
      </xdr:nvSpPr>
      <xdr:spPr bwMode="auto">
        <a:xfrm>
          <a:off x="6105525" y="4219575"/>
          <a:ext cx="2638425" cy="1228725"/>
        </a:xfrm>
        <a:prstGeom prst="rect">
          <a:avLst/>
        </a:prstGeom>
        <a:solidFill>
          <a:srgbClr val="0C2577"/>
        </a:solidFill>
        <a:ln w="9525">
          <a:noFill/>
          <a:miter lim="800000"/>
          <a:headEnd/>
          <a:tailEnd/>
        </a:ln>
        <a:effectLst>
          <a:outerShdw dist="107763" dir="2700000" algn="ctr" rotWithShape="0">
            <a:srgbClr val="808080">
              <a:alpha val="50000"/>
            </a:srgbClr>
          </a:outerShdw>
        </a:effectLst>
      </xdr:spPr>
      <xdr:txBody>
        <a:bodyPr vertOverflow="clip" wrap="square" lIns="36576" tIns="27432" rIns="0" bIns="27432" anchor="ctr" upright="1"/>
        <a:lstStyle/>
        <a:p>
          <a:pPr algn="l" rtl="0">
            <a:defRPr sz="1000"/>
          </a:pPr>
          <a:r>
            <a:rPr lang="en-US" sz="1200" b="1" i="0" u="none" strike="noStrike" baseline="0">
              <a:solidFill>
                <a:srgbClr val="FFFFFF"/>
              </a:solidFill>
              <a:latin typeface="Arial"/>
              <a:cs typeface="Arial"/>
            </a:rPr>
            <a:t>Values are extracted from "DDR3 Spec" tab. Please confirm the numbers in that worksheet are updated prior to use.</a:t>
          </a:r>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518160</xdr:colOff>
          <xdr:row>8</xdr:row>
          <xdr:rowOff>0</xdr:rowOff>
        </xdr:to>
        <xdr:sp macro="" textlink="">
          <xdr:nvSpPr>
            <xdr:cNvPr id="4098" name="Drop Dow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518160</xdr:colOff>
          <xdr:row>9</xdr:row>
          <xdr:rowOff>0</xdr:rowOff>
        </xdr:to>
        <xdr:sp macro="" textlink="">
          <xdr:nvSpPr>
            <xdr:cNvPr id="4100" name="Drop Dow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xdr:row>
          <xdr:rowOff>0</xdr:rowOff>
        </xdr:from>
        <xdr:to>
          <xdr:col>3</xdr:col>
          <xdr:colOff>518160</xdr:colOff>
          <xdr:row>7</xdr:row>
          <xdr:rowOff>0</xdr:rowOff>
        </xdr:to>
        <xdr:sp macro="" textlink="">
          <xdr:nvSpPr>
            <xdr:cNvPr id="4102" name="Drop Down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xdr:row>
          <xdr:rowOff>0</xdr:rowOff>
        </xdr:from>
        <xdr:to>
          <xdr:col>3</xdr:col>
          <xdr:colOff>518160</xdr:colOff>
          <xdr:row>8</xdr:row>
          <xdr:rowOff>0</xdr:rowOff>
        </xdr:to>
        <xdr:sp macro="" textlink="">
          <xdr:nvSpPr>
            <xdr:cNvPr id="4993" name="Drop Down 897" hidden="1">
              <a:extLst>
                <a:ext uri="{63B3BB69-23CF-44E3-9099-C40C66FF867C}">
                  <a14:compatExt spid="_x0000_s4993"/>
                </a:ext>
                <a:ext uri="{FF2B5EF4-FFF2-40B4-BE49-F238E27FC236}">
                  <a16:creationId xmlns:a16="http://schemas.microsoft.com/office/drawing/2014/main" id="{00000000-0008-0000-0300-000081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8</xdr:row>
          <xdr:rowOff>0</xdr:rowOff>
        </xdr:from>
        <xdr:to>
          <xdr:col>3</xdr:col>
          <xdr:colOff>518160</xdr:colOff>
          <xdr:row>9</xdr:row>
          <xdr:rowOff>0</xdr:rowOff>
        </xdr:to>
        <xdr:sp macro="" textlink="">
          <xdr:nvSpPr>
            <xdr:cNvPr id="4994" name="Drop Down 898" hidden="1">
              <a:extLst>
                <a:ext uri="{63B3BB69-23CF-44E3-9099-C40C66FF867C}">
                  <a14:compatExt spid="_x0000_s4994"/>
                </a:ext>
                <a:ext uri="{FF2B5EF4-FFF2-40B4-BE49-F238E27FC236}">
                  <a16:creationId xmlns:a16="http://schemas.microsoft.com/office/drawing/2014/main" id="{00000000-0008-0000-0300-000082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971550</xdr:colOff>
      <xdr:row>1</xdr:row>
      <xdr:rowOff>114300</xdr:rowOff>
    </xdr:from>
    <xdr:to>
      <xdr:col>4</xdr:col>
      <xdr:colOff>2647950</xdr:colOff>
      <xdr:row>2</xdr:row>
      <xdr:rowOff>85725</xdr:rowOff>
    </xdr:to>
    <xdr:pic>
      <xdr:nvPicPr>
        <xdr:cNvPr id="14" name="Picture 392">
          <a:extLst>
            <a:ext uri="{FF2B5EF4-FFF2-40B4-BE49-F238E27FC236}">
              <a16:creationId xmlns:a16="http://schemas.microsoft.com/office/drawing/2014/main" id="{00000000-0008-0000-0300-00000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819900" y="276225"/>
          <a:ext cx="1676400" cy="457200"/>
        </a:xfrm>
        <a:prstGeom prst="rect">
          <a:avLst/>
        </a:prstGeom>
        <a:noFill/>
        <a:ln w="1">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2</xdr:col>
          <xdr:colOff>0</xdr:colOff>
          <xdr:row>10</xdr:row>
          <xdr:rowOff>0</xdr:rowOff>
        </xdr:from>
        <xdr:to>
          <xdr:col>3</xdr:col>
          <xdr:colOff>518160</xdr:colOff>
          <xdr:row>10</xdr:row>
          <xdr:rowOff>228600</xdr:rowOff>
        </xdr:to>
        <xdr:sp macro="" textlink="">
          <xdr:nvSpPr>
            <xdr:cNvPr id="4997" name="Drop Down 901" hidden="1">
              <a:extLst>
                <a:ext uri="{63B3BB69-23CF-44E3-9099-C40C66FF867C}">
                  <a14:compatExt spid="_x0000_s4997"/>
                </a:ext>
                <a:ext uri="{FF2B5EF4-FFF2-40B4-BE49-F238E27FC236}">
                  <a16:creationId xmlns:a16="http://schemas.microsoft.com/office/drawing/2014/main" id="{00000000-0008-0000-0300-000085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22860</xdr:colOff>
          <xdr:row>9</xdr:row>
          <xdr:rowOff>22860</xdr:rowOff>
        </xdr:from>
        <xdr:to>
          <xdr:col>3</xdr:col>
          <xdr:colOff>518160</xdr:colOff>
          <xdr:row>10</xdr:row>
          <xdr:rowOff>22860</xdr:rowOff>
        </xdr:to>
        <xdr:sp macro="" textlink="">
          <xdr:nvSpPr>
            <xdr:cNvPr id="5000" name="Drop Down 904" hidden="1">
              <a:extLst>
                <a:ext uri="{63B3BB69-23CF-44E3-9099-C40C66FF867C}">
                  <a14:compatExt spid="_x0000_s5000"/>
                </a:ext>
                <a:ext uri="{FF2B5EF4-FFF2-40B4-BE49-F238E27FC236}">
                  <a16:creationId xmlns:a16="http://schemas.microsoft.com/office/drawing/2014/main" id="{00000000-0008-0000-0300-00008813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14</xdr:col>
      <xdr:colOff>66675</xdr:colOff>
      <xdr:row>4</xdr:row>
      <xdr:rowOff>85725</xdr:rowOff>
    </xdr:from>
    <xdr:to>
      <xdr:col>21</xdr:col>
      <xdr:colOff>266700</xdr:colOff>
      <xdr:row>11</xdr:row>
      <xdr:rowOff>0</xdr:rowOff>
    </xdr:to>
    <xdr:pic>
      <xdr:nvPicPr>
        <xdr:cNvPr id="5477" name="Picture 135">
          <a:extLst>
            <a:ext uri="{FF2B5EF4-FFF2-40B4-BE49-F238E27FC236}">
              <a16:creationId xmlns:a16="http://schemas.microsoft.com/office/drawing/2014/main" id="{00000000-0008-0000-0400-00006515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173325"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92710</xdr:colOff>
      <xdr:row>11</xdr:row>
      <xdr:rowOff>49530</xdr:rowOff>
    </xdr:to>
    <xdr:pic>
      <xdr:nvPicPr>
        <xdr:cNvPr id="5478" name="Picture 136">
          <a:extLst>
            <a:ext uri="{FF2B5EF4-FFF2-40B4-BE49-F238E27FC236}">
              <a16:creationId xmlns:a16="http://schemas.microsoft.com/office/drawing/2014/main" id="{00000000-0008-0000-0400-00006615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081087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5479" name="Picture 392">
          <a:extLst>
            <a:ext uri="{FF2B5EF4-FFF2-40B4-BE49-F238E27FC236}">
              <a16:creationId xmlns:a16="http://schemas.microsoft.com/office/drawing/2014/main" id="{00000000-0008-0000-0400-00006715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5480" name="Picture 392">
          <a:extLst>
            <a:ext uri="{FF2B5EF4-FFF2-40B4-BE49-F238E27FC236}">
              <a16:creationId xmlns:a16="http://schemas.microsoft.com/office/drawing/2014/main" id="{00000000-0008-0000-0400-00006815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0909300" y="0"/>
          <a:ext cx="1676400" cy="463550"/>
        </a:xfrm>
        <a:prstGeom prst="rect">
          <a:avLst/>
        </a:prstGeom>
        <a:noFill/>
        <a:ln w="1">
          <a:noFill/>
          <a:miter lim="800000"/>
          <a:headEnd/>
          <a:tailEnd/>
        </a:ln>
      </xdr:spPr>
    </xdr:pic>
    <xdr:clientData/>
  </xdr:twoCellAnchor>
  <xdr:twoCellAnchor editAs="oneCell">
    <xdr:from>
      <xdr:col>14</xdr:col>
      <xdr:colOff>66675</xdr:colOff>
      <xdr:row>4</xdr:row>
      <xdr:rowOff>85725</xdr:rowOff>
    </xdr:from>
    <xdr:to>
      <xdr:col>21</xdr:col>
      <xdr:colOff>266700</xdr:colOff>
      <xdr:row>11</xdr:row>
      <xdr:rowOff>0</xdr:rowOff>
    </xdr:to>
    <xdr:pic>
      <xdr:nvPicPr>
        <xdr:cNvPr id="6" name="Picture 13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2877800" y="857250"/>
          <a:ext cx="4029075" cy="1514475"/>
        </a:xfrm>
        <a:prstGeom prst="rect">
          <a:avLst/>
        </a:prstGeom>
        <a:noFill/>
        <a:ln w="1">
          <a:noFill/>
          <a:miter lim="800000"/>
          <a:headEnd/>
          <a:tailEnd/>
        </a:ln>
      </xdr:spPr>
    </xdr:pic>
    <xdr:clientData/>
  </xdr:twoCellAnchor>
  <xdr:twoCellAnchor editAs="oneCell">
    <xdr:from>
      <xdr:col>6</xdr:col>
      <xdr:colOff>19050</xdr:colOff>
      <xdr:row>4</xdr:row>
      <xdr:rowOff>104775</xdr:rowOff>
    </xdr:from>
    <xdr:to>
      <xdr:col>13</xdr:col>
      <xdr:colOff>316230</xdr:colOff>
      <xdr:row>11</xdr:row>
      <xdr:rowOff>49530</xdr:rowOff>
    </xdr:to>
    <xdr:pic>
      <xdr:nvPicPr>
        <xdr:cNvPr id="7" name="Picture 13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734425" y="876300"/>
          <a:ext cx="3933825" cy="1543050"/>
        </a:xfrm>
        <a:prstGeom prst="rect">
          <a:avLst/>
        </a:prstGeom>
        <a:noFill/>
        <a:ln w="1">
          <a:noFill/>
          <a:miter lim="800000"/>
          <a:headEnd/>
          <a:tailEnd/>
        </a:ln>
      </xdr:spPr>
    </xdr:pic>
    <xdr:clientData/>
  </xdr:twoCellAnchor>
  <xdr:twoCellAnchor editAs="oneCell">
    <xdr:from>
      <xdr:col>1</xdr:col>
      <xdr:colOff>180975</xdr:colOff>
      <xdr:row>0</xdr:row>
      <xdr:rowOff>104775</xdr:rowOff>
    </xdr:from>
    <xdr:to>
      <xdr:col>1</xdr:col>
      <xdr:colOff>1855470</xdr:colOff>
      <xdr:row>3</xdr:row>
      <xdr:rowOff>53340</xdr:rowOff>
    </xdr:to>
    <xdr:pic>
      <xdr:nvPicPr>
        <xdr:cNvPr id="8" name="Picture 392">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209675" y="104775"/>
          <a:ext cx="1676400" cy="447675"/>
        </a:xfrm>
        <a:prstGeom prst="rect">
          <a:avLst/>
        </a:prstGeom>
        <a:noFill/>
        <a:ln w="1">
          <a:noFill/>
          <a:miter lim="800000"/>
          <a:headEnd/>
          <a:tailEnd/>
        </a:ln>
      </xdr:spPr>
    </xdr:pic>
    <xdr:clientData/>
  </xdr:twoCellAnchor>
  <xdr:twoCellAnchor editAs="oneCell">
    <xdr:from>
      <xdr:col>6</xdr:col>
      <xdr:colOff>114300</xdr:colOff>
      <xdr:row>0</xdr:row>
      <xdr:rowOff>0</xdr:rowOff>
    </xdr:from>
    <xdr:to>
      <xdr:col>9</xdr:col>
      <xdr:colOff>342900</xdr:colOff>
      <xdr:row>2</xdr:row>
      <xdr:rowOff>129540</xdr:rowOff>
    </xdr:to>
    <xdr:pic>
      <xdr:nvPicPr>
        <xdr:cNvPr id="9" name="Picture 392">
          <a:extLst>
            <a:ext uri="{FF2B5EF4-FFF2-40B4-BE49-F238E27FC236}">
              <a16:creationId xmlns:a16="http://schemas.microsoft.com/office/drawing/2014/main" id="{00000000-0008-0000-0400-0000090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8829675" y="0"/>
          <a:ext cx="1676400" cy="457200"/>
        </a:xfrm>
        <a:prstGeom prst="rect">
          <a:avLst/>
        </a:prstGeom>
        <a:noFill/>
        <a:ln w="1">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133350</xdr:colOff>
      <xdr:row>0</xdr:row>
      <xdr:rowOff>28575</xdr:rowOff>
    </xdr:from>
    <xdr:to>
      <xdr:col>12</xdr:col>
      <xdr:colOff>146685</xdr:colOff>
      <xdr:row>3</xdr:row>
      <xdr:rowOff>47625</xdr:rowOff>
    </xdr:to>
    <xdr:pic>
      <xdr:nvPicPr>
        <xdr:cNvPr id="1229" name="Picture 392">
          <a:extLst>
            <a:ext uri="{FF2B5EF4-FFF2-40B4-BE49-F238E27FC236}">
              <a16:creationId xmlns:a16="http://schemas.microsoft.com/office/drawing/2014/main" id="{00000000-0008-0000-0500-0000CD04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7639050" y="28575"/>
          <a:ext cx="1847850" cy="504825"/>
        </a:xfrm>
        <a:prstGeom prst="rect">
          <a:avLst/>
        </a:prstGeom>
        <a:noFill/>
        <a:ln w="1">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152401</xdr:colOff>
      <xdr:row>7</xdr:row>
      <xdr:rowOff>76201</xdr:rowOff>
    </xdr:from>
    <xdr:to>
      <xdr:col>12</xdr:col>
      <xdr:colOff>91441</xdr:colOff>
      <xdr:row>25</xdr:row>
      <xdr:rowOff>22861</xdr:rowOff>
    </xdr:to>
    <xdr:graphicFrame macro="">
      <xdr:nvGraphicFramePr>
        <xdr:cNvPr id="2651" name="Chart 1">
          <a:extLst>
            <a:ext uri="{FF2B5EF4-FFF2-40B4-BE49-F238E27FC236}">
              <a16:creationId xmlns:a16="http://schemas.microsoft.com/office/drawing/2014/main" id="{00000000-0008-0000-0600-00005B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186690</xdr:colOff>
      <xdr:row>24</xdr:row>
      <xdr:rowOff>146685</xdr:rowOff>
    </xdr:from>
    <xdr:to>
      <xdr:col>12</xdr:col>
      <xdr:colOff>7620</xdr:colOff>
      <xdr:row>62</xdr:row>
      <xdr:rowOff>15240</xdr:rowOff>
    </xdr:to>
    <xdr:graphicFrame macro="">
      <xdr:nvGraphicFramePr>
        <xdr:cNvPr id="2652" name="Chart 2">
          <a:extLst>
            <a:ext uri="{FF2B5EF4-FFF2-40B4-BE49-F238E27FC236}">
              <a16:creationId xmlns:a16="http://schemas.microsoft.com/office/drawing/2014/main" id="{00000000-0008-0000-0600-00005C0A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4</xdr:col>
      <xdr:colOff>148590</xdr:colOff>
      <xdr:row>0</xdr:row>
      <xdr:rowOff>108585</xdr:rowOff>
    </xdr:from>
    <xdr:to>
      <xdr:col>7</xdr:col>
      <xdr:colOff>53340</xdr:colOff>
      <xdr:row>3</xdr:row>
      <xdr:rowOff>80010</xdr:rowOff>
    </xdr:to>
    <xdr:pic>
      <xdr:nvPicPr>
        <xdr:cNvPr id="2653" name="Picture 392">
          <a:extLst>
            <a:ext uri="{FF2B5EF4-FFF2-40B4-BE49-F238E27FC236}">
              <a16:creationId xmlns:a16="http://schemas.microsoft.com/office/drawing/2014/main" id="{00000000-0008-0000-0600-00005D0A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3539490" y="108585"/>
          <a:ext cx="1733550" cy="47434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dramsupport@micron.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D23"/>
  <sheetViews>
    <sheetView showGridLines="0" workbookViewId="0">
      <selection activeCell="G11" sqref="G11"/>
    </sheetView>
  </sheetViews>
  <sheetFormatPr baseColWidth="10" defaultColWidth="8.6640625" defaultRowHeight="13.2"/>
  <cols>
    <col min="1" max="1" width="8.6640625" customWidth="1"/>
    <col min="2" max="2" width="15.33203125" customWidth="1"/>
    <col min="3" max="3" width="3.6640625" customWidth="1"/>
    <col min="4" max="4" width="59.44140625" customWidth="1"/>
  </cols>
  <sheetData>
    <row r="1" spans="1:4" ht="13.8" thickBot="1">
      <c r="A1" s="20"/>
    </row>
    <row r="2" spans="1:4">
      <c r="B2" s="5" t="s">
        <v>37</v>
      </c>
      <c r="C2" s="6" t="s">
        <v>46</v>
      </c>
      <c r="D2" s="7" t="s">
        <v>327</v>
      </c>
    </row>
    <row r="3" spans="1:4">
      <c r="B3" s="8" t="s">
        <v>38</v>
      </c>
      <c r="C3" s="9" t="s">
        <v>46</v>
      </c>
      <c r="D3" s="186">
        <v>1.02</v>
      </c>
    </row>
    <row r="4" spans="1:4">
      <c r="B4" s="8" t="s">
        <v>39</v>
      </c>
      <c r="C4" s="9" t="s">
        <v>46</v>
      </c>
      <c r="D4" s="10">
        <v>44137</v>
      </c>
    </row>
    <row r="5" spans="1:4">
      <c r="B5" s="8"/>
      <c r="C5" s="9"/>
      <c r="D5" s="11"/>
    </row>
    <row r="6" spans="1:4">
      <c r="B6" s="8" t="s">
        <v>41</v>
      </c>
      <c r="C6" s="9" t="s">
        <v>46</v>
      </c>
      <c r="D6" s="118" t="s">
        <v>204</v>
      </c>
    </row>
    <row r="7" spans="1:4">
      <c r="B7" s="8" t="s">
        <v>40</v>
      </c>
      <c r="C7" s="9" t="s">
        <v>46</v>
      </c>
      <c r="D7" s="11" t="s">
        <v>45</v>
      </c>
    </row>
    <row r="8" spans="1:4">
      <c r="B8" s="8"/>
      <c r="C8" s="9"/>
      <c r="D8" s="11"/>
    </row>
    <row r="9" spans="1:4" ht="26.4">
      <c r="B9" s="8" t="s">
        <v>42</v>
      </c>
      <c r="C9" s="9" t="s">
        <v>46</v>
      </c>
      <c r="D9" s="11" t="s">
        <v>328</v>
      </c>
    </row>
    <row r="10" spans="1:4">
      <c r="B10" s="8"/>
      <c r="C10" s="9"/>
      <c r="D10" s="215"/>
    </row>
    <row r="11" spans="1:4">
      <c r="B11" s="8" t="s">
        <v>57</v>
      </c>
      <c r="C11" s="9" t="s">
        <v>46</v>
      </c>
      <c r="D11" s="11"/>
    </row>
    <row r="12" spans="1:4">
      <c r="B12" s="8"/>
      <c r="C12" s="9"/>
      <c r="D12" s="11"/>
    </row>
    <row r="13" spans="1:4">
      <c r="B13" s="8" t="s">
        <v>43</v>
      </c>
      <c r="C13" s="9" t="s">
        <v>46</v>
      </c>
      <c r="D13" s="11"/>
    </row>
    <row r="14" spans="1:4">
      <c r="B14" s="8"/>
      <c r="C14" s="9"/>
      <c r="D14" s="11"/>
    </row>
    <row r="15" spans="1:4" ht="145.19999999999999">
      <c r="B15" s="8" t="s">
        <v>44</v>
      </c>
      <c r="C15" s="9" t="s">
        <v>46</v>
      </c>
      <c r="D15" s="11" t="s">
        <v>26</v>
      </c>
    </row>
    <row r="16" spans="1:4" ht="26.4">
      <c r="B16" s="8"/>
      <c r="C16" s="9"/>
      <c r="D16" s="11" t="s">
        <v>27</v>
      </c>
    </row>
    <row r="17" spans="1:4">
      <c r="B17" s="8"/>
      <c r="C17" s="9"/>
      <c r="D17" s="11"/>
    </row>
    <row r="18" spans="1:4">
      <c r="B18" s="8"/>
      <c r="C18" s="9"/>
      <c r="D18" s="11"/>
    </row>
    <row r="19" spans="1:4">
      <c r="B19" s="8"/>
      <c r="C19" s="9"/>
      <c r="D19" s="11" t="s">
        <v>321</v>
      </c>
    </row>
    <row r="20" spans="1:4" ht="13.8" thickBot="1">
      <c r="B20" s="12"/>
      <c r="C20" s="16"/>
      <c r="D20" s="13" t="s">
        <v>135</v>
      </c>
    </row>
    <row r="23" spans="1:4">
      <c r="A23" s="20"/>
    </row>
  </sheetData>
  <phoneticPr fontId="0" type="noConversion"/>
  <hyperlinks>
    <hyperlink ref="D6" r:id="rId1" xr:uid="{00000000-0004-0000-0000-000000000000}"/>
  </hyperlinks>
  <printOptions horizontalCentered="1" verticalCentered="1"/>
  <pageMargins left="0.25" right="0.25" top="0.25" bottom="0.25" header="0.5" footer="0.5"/>
  <pageSetup orientation="landscape" r:id="rId2"/>
  <headerFooter alignWithMargins="0">
    <oddHeader>&amp;L&amp;"Calibri"&amp;9&amp;K000000Micron Confidential&amp;1#</oddHeader>
  </headerFooter>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F59"/>
  <sheetViews>
    <sheetView topLeftCell="A7" workbookViewId="0">
      <selection activeCell="C12" sqref="C12"/>
    </sheetView>
  </sheetViews>
  <sheetFormatPr baseColWidth="10" defaultColWidth="9.33203125" defaultRowHeight="13.2"/>
  <cols>
    <col min="1" max="1" width="4.33203125" style="3" customWidth="1"/>
    <col min="2" max="2" width="5.44140625" style="3" customWidth="1"/>
    <col min="3" max="3" width="117" style="3" customWidth="1"/>
    <col min="4" max="4" width="4.44140625" style="3" customWidth="1"/>
    <col min="5" max="16384" width="9.33203125" style="3"/>
  </cols>
  <sheetData>
    <row r="1" spans="1:3">
      <c r="A1" s="20"/>
      <c r="C1" s="20"/>
    </row>
    <row r="4" spans="1:3" ht="22.2" customHeight="1">
      <c r="A4" s="40" t="s">
        <v>136</v>
      </c>
      <c r="B4" s="25"/>
      <c r="C4" s="26"/>
    </row>
    <row r="5" spans="1:3" ht="15.6">
      <c r="B5" s="18" t="s">
        <v>210</v>
      </c>
    </row>
    <row r="6" spans="1:3" ht="15.6">
      <c r="B6" s="18"/>
      <c r="C6" s="3" t="s">
        <v>103</v>
      </c>
    </row>
    <row r="7" spans="1:3" s="19" customFormat="1">
      <c r="C7" s="17" t="s">
        <v>238</v>
      </c>
    </row>
    <row r="8" spans="1:3" s="19" customFormat="1" ht="26.4">
      <c r="C8" s="17" t="s">
        <v>239</v>
      </c>
    </row>
    <row r="9" spans="1:3" s="19" customFormat="1" ht="26.4">
      <c r="C9" s="17" t="s">
        <v>240</v>
      </c>
    </row>
    <row r="10" spans="1:3" s="19" customFormat="1">
      <c r="C10" s="17"/>
    </row>
    <row r="11" spans="1:3" s="19" customFormat="1" ht="15.6">
      <c r="B11" s="18" t="s">
        <v>331</v>
      </c>
    </row>
    <row r="12" spans="1:3" s="19" customFormat="1" ht="15.75" customHeight="1">
      <c r="C12" s="17" t="s">
        <v>242</v>
      </c>
    </row>
    <row r="13" spans="1:3" s="19" customFormat="1" ht="15.75" customHeight="1">
      <c r="C13" s="17" t="s">
        <v>244</v>
      </c>
    </row>
    <row r="14" spans="1:3" s="19" customFormat="1" ht="15.75" customHeight="1">
      <c r="C14" s="17" t="s">
        <v>243</v>
      </c>
    </row>
    <row r="15" spans="1:3" s="19" customFormat="1" ht="15.75" customHeight="1">
      <c r="C15" s="17" t="s">
        <v>333</v>
      </c>
    </row>
    <row r="16" spans="1:3" s="19" customFormat="1" ht="15.75" customHeight="1">
      <c r="C16" s="17" t="s">
        <v>329</v>
      </c>
    </row>
    <row r="17" spans="2:6">
      <c r="C17" s="17"/>
    </row>
    <row r="18" spans="2:6" ht="15.6">
      <c r="B18" s="18" t="s">
        <v>330</v>
      </c>
      <c r="C18" s="17"/>
    </row>
    <row r="19" spans="2:6" s="19" customFormat="1">
      <c r="C19" s="17" t="s">
        <v>241</v>
      </c>
    </row>
    <row r="20" spans="2:6" s="19" customFormat="1">
      <c r="C20" s="17" t="s">
        <v>5</v>
      </c>
    </row>
    <row r="21" spans="2:6" s="19" customFormat="1" ht="18" customHeight="1">
      <c r="C21" s="17" t="s">
        <v>137</v>
      </c>
    </row>
    <row r="22" spans="2:6" s="19" customFormat="1" ht="18" customHeight="1">
      <c r="C22" s="17" t="s">
        <v>295</v>
      </c>
      <c r="F22" s="19" t="s">
        <v>250</v>
      </c>
    </row>
    <row r="23" spans="2:6" s="19" customFormat="1" ht="18" customHeight="1">
      <c r="C23" s="17" t="s">
        <v>296</v>
      </c>
    </row>
    <row r="24" spans="2:6" s="19" customFormat="1" ht="18" customHeight="1">
      <c r="C24" s="17" t="s">
        <v>297</v>
      </c>
    </row>
    <row r="25" spans="2:6" s="19" customFormat="1" ht="18" customHeight="1">
      <c r="C25" s="17" t="s">
        <v>298</v>
      </c>
    </row>
    <row r="26" spans="2:6" s="19" customFormat="1" ht="29.25" customHeight="1">
      <c r="C26" s="161" t="s">
        <v>299</v>
      </c>
    </row>
    <row r="27" spans="2:6" s="19" customFormat="1" ht="16.5" customHeight="1">
      <c r="C27" s="17" t="s">
        <v>15</v>
      </c>
    </row>
    <row r="28" spans="2:6" s="19" customFormat="1" ht="30.75" customHeight="1">
      <c r="C28" s="17" t="s">
        <v>245</v>
      </c>
    </row>
    <row r="29" spans="2:6" s="19" customFormat="1" ht="30.75" customHeight="1">
      <c r="C29" s="17" t="s">
        <v>246</v>
      </c>
    </row>
    <row r="30" spans="2:6" s="19" customFormat="1" ht="30.75" customHeight="1">
      <c r="C30" s="17" t="s">
        <v>247</v>
      </c>
    </row>
    <row r="31" spans="2:6" s="19" customFormat="1" ht="30.75" customHeight="1">
      <c r="C31" s="17" t="s">
        <v>88</v>
      </c>
    </row>
    <row r="32" spans="2:6" s="19" customFormat="1" ht="30.75" customHeight="1">
      <c r="C32" s="17" t="s">
        <v>89</v>
      </c>
    </row>
    <row r="33" spans="2:3" s="19" customFormat="1" ht="18" customHeight="1">
      <c r="C33" s="17" t="s">
        <v>138</v>
      </c>
    </row>
    <row r="34" spans="2:3" s="19" customFormat="1" ht="30.75" customHeight="1">
      <c r="C34" s="17" t="s">
        <v>139</v>
      </c>
    </row>
    <row r="35" spans="2:3" s="19" customFormat="1" ht="30.75" customHeight="1">
      <c r="C35" s="17" t="s">
        <v>140</v>
      </c>
    </row>
    <row r="36" spans="2:3">
      <c r="C36" s="17"/>
    </row>
    <row r="37" spans="2:3" ht="15.6">
      <c r="B37" s="18" t="s">
        <v>7</v>
      </c>
      <c r="C37" s="17"/>
    </row>
    <row r="38" spans="2:3" ht="39.6">
      <c r="C38" s="17" t="s">
        <v>141</v>
      </c>
    </row>
    <row r="39" spans="2:3">
      <c r="C39" s="17"/>
    </row>
    <row r="40" spans="2:3" ht="15.6">
      <c r="B40" s="18" t="s">
        <v>8</v>
      </c>
      <c r="C40" s="17"/>
    </row>
    <row r="41" spans="2:3" ht="52.8">
      <c r="C41" s="17" t="s">
        <v>248</v>
      </c>
    </row>
    <row r="42" spans="2:3">
      <c r="C42" s="17"/>
    </row>
    <row r="43" spans="2:3">
      <c r="C43" s="17"/>
    </row>
    <row r="44" spans="2:3">
      <c r="C44" s="17"/>
    </row>
    <row r="45" spans="2:3">
      <c r="C45" s="17"/>
    </row>
    <row r="46" spans="2:3">
      <c r="C46" s="17"/>
    </row>
    <row r="47" spans="2:3">
      <c r="C47" s="17"/>
    </row>
    <row r="48" spans="2:3">
      <c r="C48" s="17"/>
    </row>
    <row r="49" spans="3:3">
      <c r="C49" s="17"/>
    </row>
    <row r="50" spans="3:3">
      <c r="C50" s="17"/>
    </row>
    <row r="51" spans="3:3">
      <c r="C51" s="17"/>
    </row>
    <row r="52" spans="3:3">
      <c r="C52" s="17"/>
    </row>
    <row r="53" spans="3:3">
      <c r="C53" s="17"/>
    </row>
    <row r="54" spans="3:3">
      <c r="C54" s="17"/>
    </row>
    <row r="55" spans="3:3">
      <c r="C55" s="17"/>
    </row>
    <row r="56" spans="3:3">
      <c r="C56" s="17"/>
    </row>
    <row r="57" spans="3:3">
      <c r="C57" s="17"/>
    </row>
    <row r="58" spans="3:3">
      <c r="C58" s="17"/>
    </row>
    <row r="59" spans="3:3">
      <c r="C59" s="17"/>
    </row>
  </sheetData>
  <phoneticPr fontId="0" type="noConversion"/>
  <printOptions horizontalCentered="1"/>
  <pageMargins left="0.5" right="0.5" top="1" bottom="0.25" header="0.5" footer="0.5"/>
  <pageSetup scale="69" orientation="portrait" r:id="rId1"/>
  <headerFooter alignWithMargins="0">
    <oddHeader>&amp;L&amp;"Calibri"&amp;9&amp;K000000Micron Confidential&amp;1#</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BG197"/>
  <sheetViews>
    <sheetView showGridLines="0" topLeftCell="A4" workbookViewId="0">
      <selection activeCell="D7" sqref="D7"/>
    </sheetView>
  </sheetViews>
  <sheetFormatPr baseColWidth="10" defaultColWidth="8.6640625" defaultRowHeight="13.2"/>
  <cols>
    <col min="1" max="1" width="15.33203125" customWidth="1"/>
    <col min="2" max="2" width="38.33203125" style="23" customWidth="1"/>
    <col min="3" max="3" width="11.6640625" customWidth="1"/>
    <col min="4" max="4" width="9.33203125" customWidth="1"/>
    <col min="5" max="35" width="9.33203125" style="24" customWidth="1"/>
    <col min="36" max="36" width="7.6640625" style="24" customWidth="1"/>
    <col min="37" max="37" width="6.6640625" customWidth="1"/>
    <col min="47" max="47" width="7.33203125" customWidth="1"/>
    <col min="58" max="58" width="3.33203125" customWidth="1"/>
  </cols>
  <sheetData>
    <row r="1" spans="1:59">
      <c r="A1" s="20"/>
      <c r="B1"/>
      <c r="L1"/>
      <c r="M1"/>
    </row>
    <row r="2" spans="1:59">
      <c r="B2"/>
      <c r="L2"/>
      <c r="M2"/>
    </row>
    <row r="3" spans="1:59">
      <c r="B3"/>
      <c r="L3"/>
      <c r="M3"/>
    </row>
    <row r="4" spans="1:59" ht="17.100000000000001" customHeight="1">
      <c r="A4" s="32"/>
      <c r="B4" s="33"/>
      <c r="C4" s="32"/>
      <c r="D4" s="261" t="s">
        <v>161</v>
      </c>
      <c r="E4" s="261"/>
      <c r="F4" s="261"/>
      <c r="G4" s="261"/>
      <c r="H4" s="261"/>
      <c r="I4" s="261"/>
      <c r="J4" s="261"/>
      <c r="K4" s="261"/>
      <c r="L4" s="261"/>
      <c r="M4" s="261"/>
      <c r="N4" s="34"/>
      <c r="O4" s="261" t="s">
        <v>205</v>
      </c>
      <c r="P4" s="261"/>
      <c r="Q4" s="261"/>
      <c r="R4" s="261"/>
      <c r="S4" s="261"/>
      <c r="T4" s="261"/>
      <c r="U4" s="261"/>
      <c r="V4" s="261"/>
      <c r="W4" s="261"/>
      <c r="X4" s="261"/>
      <c r="Y4" s="34"/>
      <c r="Z4" s="261" t="s">
        <v>206</v>
      </c>
      <c r="AA4" s="261"/>
      <c r="AB4" s="261"/>
      <c r="AC4" s="261"/>
      <c r="AD4" s="261"/>
      <c r="AE4" s="261"/>
      <c r="AF4" s="261"/>
      <c r="AG4" s="261"/>
      <c r="AH4" s="261"/>
      <c r="AI4" s="261"/>
      <c r="AJ4" s="34"/>
      <c r="AK4" s="261" t="s">
        <v>316</v>
      </c>
      <c r="AL4" s="261"/>
      <c r="AM4" s="261"/>
      <c r="AN4" s="261"/>
      <c r="AO4" s="261"/>
      <c r="AP4" s="261"/>
      <c r="AQ4" s="261"/>
      <c r="AR4" s="261"/>
      <c r="AS4" s="261"/>
      <c r="AT4" s="261"/>
      <c r="AU4" s="34"/>
      <c r="AV4" s="261" t="s">
        <v>317</v>
      </c>
      <c r="AW4" s="261"/>
      <c r="AX4" s="261"/>
      <c r="AY4" s="261"/>
      <c r="AZ4" s="261"/>
      <c r="BA4" s="261"/>
      <c r="BB4" s="261"/>
      <c r="BC4" s="261"/>
      <c r="BD4" s="261"/>
      <c r="BE4" s="261"/>
      <c r="BF4" s="34"/>
      <c r="BG4" s="27"/>
    </row>
    <row r="5" spans="1:59" ht="17.100000000000001" customHeight="1">
      <c r="A5" s="56" t="s">
        <v>51</v>
      </c>
      <c r="B5" s="57" t="s">
        <v>52</v>
      </c>
      <c r="C5" s="56" t="s">
        <v>52</v>
      </c>
      <c r="D5" s="58" t="s">
        <v>256</v>
      </c>
      <c r="E5" s="58" t="s">
        <v>255</v>
      </c>
      <c r="F5" s="58" t="s">
        <v>254</v>
      </c>
      <c r="G5" s="58" t="s">
        <v>253</v>
      </c>
      <c r="H5" s="58" t="s">
        <v>252</v>
      </c>
      <c r="I5" s="58" t="s">
        <v>251</v>
      </c>
      <c r="J5" s="58" t="s">
        <v>209</v>
      </c>
      <c r="K5" s="58" t="s">
        <v>207</v>
      </c>
      <c r="L5" s="58" t="s">
        <v>208</v>
      </c>
      <c r="M5" s="58" t="s">
        <v>203</v>
      </c>
      <c r="N5" s="59"/>
      <c r="O5" s="58" t="s">
        <v>256</v>
      </c>
      <c r="P5" s="58" t="s">
        <v>255</v>
      </c>
      <c r="Q5" s="58" t="s">
        <v>254</v>
      </c>
      <c r="R5" s="58" t="s">
        <v>253</v>
      </c>
      <c r="S5" s="58" t="s">
        <v>252</v>
      </c>
      <c r="T5" s="58" t="s">
        <v>251</v>
      </c>
      <c r="U5" s="58" t="s">
        <v>209</v>
      </c>
      <c r="V5" s="58" t="s">
        <v>207</v>
      </c>
      <c r="W5" s="58" t="s">
        <v>208</v>
      </c>
      <c r="X5" s="58" t="s">
        <v>203</v>
      </c>
      <c r="Y5" s="59"/>
      <c r="Z5" s="58" t="s">
        <v>256</v>
      </c>
      <c r="AA5" s="58" t="s">
        <v>255</v>
      </c>
      <c r="AB5" s="58" t="s">
        <v>254</v>
      </c>
      <c r="AC5" s="58" t="s">
        <v>253</v>
      </c>
      <c r="AD5" s="58" t="s">
        <v>252</v>
      </c>
      <c r="AE5" s="58" t="s">
        <v>251</v>
      </c>
      <c r="AF5" s="58" t="s">
        <v>209</v>
      </c>
      <c r="AG5" s="58" t="s">
        <v>207</v>
      </c>
      <c r="AH5" s="58" t="s">
        <v>208</v>
      </c>
      <c r="AI5" s="58" t="s">
        <v>203</v>
      </c>
      <c r="AJ5" s="59"/>
      <c r="AK5" s="58" t="s">
        <v>256</v>
      </c>
      <c r="AL5" s="58" t="s">
        <v>255</v>
      </c>
      <c r="AM5" s="58" t="s">
        <v>254</v>
      </c>
      <c r="AN5" s="58" t="s">
        <v>253</v>
      </c>
      <c r="AO5" s="58" t="s">
        <v>252</v>
      </c>
      <c r="AP5" s="58" t="s">
        <v>251</v>
      </c>
      <c r="AQ5" s="58" t="s">
        <v>209</v>
      </c>
      <c r="AR5" s="58" t="s">
        <v>207</v>
      </c>
      <c r="AS5" s="58" t="s">
        <v>208</v>
      </c>
      <c r="AT5" s="58" t="s">
        <v>203</v>
      </c>
      <c r="AU5" s="59"/>
      <c r="AV5" s="58" t="s">
        <v>256</v>
      </c>
      <c r="AW5" s="58" t="s">
        <v>255</v>
      </c>
      <c r="AX5" s="58" t="s">
        <v>254</v>
      </c>
      <c r="AY5" s="58" t="s">
        <v>253</v>
      </c>
      <c r="AZ5" s="58" t="s">
        <v>252</v>
      </c>
      <c r="BA5" s="58" t="s">
        <v>251</v>
      </c>
      <c r="BB5" s="58" t="s">
        <v>209</v>
      </c>
      <c r="BC5" s="58" t="s">
        <v>207</v>
      </c>
      <c r="BD5" s="58" t="s">
        <v>208</v>
      </c>
      <c r="BE5" s="58" t="s">
        <v>203</v>
      </c>
      <c r="BF5" s="59"/>
      <c r="BG5" s="27"/>
    </row>
    <row r="6" spans="1:59" ht="13.8">
      <c r="A6" s="46"/>
      <c r="B6" s="246" t="s">
        <v>230</v>
      </c>
      <c r="C6" s="246"/>
      <c r="D6" s="60">
        <v>1.4350000000000001</v>
      </c>
      <c r="E6" s="60">
        <v>1.4350000000000001</v>
      </c>
      <c r="F6" s="60">
        <v>1.4350000000000001</v>
      </c>
      <c r="G6" s="60">
        <v>1.4350000000000001</v>
      </c>
      <c r="H6" s="60">
        <v>1.4350000000000001</v>
      </c>
      <c r="I6" s="60">
        <v>1.4350000000000001</v>
      </c>
      <c r="J6" s="60">
        <v>1.4350000000000001</v>
      </c>
      <c r="K6" s="60">
        <v>1.4350000000000001</v>
      </c>
      <c r="L6" s="60">
        <v>1.4350000000000001</v>
      </c>
      <c r="M6" s="60">
        <v>1.4350000000000001</v>
      </c>
      <c r="N6" s="61"/>
      <c r="O6" s="60">
        <v>1.4350000000000001</v>
      </c>
      <c r="P6" s="60">
        <v>1.4350000000000001</v>
      </c>
      <c r="Q6" s="60">
        <v>1.4350000000000001</v>
      </c>
      <c r="R6" s="60">
        <v>1.4350000000000001</v>
      </c>
      <c r="S6" s="60">
        <v>1.4350000000000001</v>
      </c>
      <c r="T6" s="60">
        <v>1.4350000000000001</v>
      </c>
      <c r="U6" s="60">
        <v>1.4350000000000001</v>
      </c>
      <c r="V6" s="60">
        <v>1.4350000000000001</v>
      </c>
      <c r="W6" s="60">
        <v>1.4350000000000001</v>
      </c>
      <c r="X6" s="60">
        <v>1.4350000000000001</v>
      </c>
      <c r="Y6" s="61"/>
      <c r="Z6" s="60">
        <v>1.4350000000000001</v>
      </c>
      <c r="AA6" s="60">
        <v>1.4350000000000001</v>
      </c>
      <c r="AB6" s="60">
        <v>1.4350000000000001</v>
      </c>
      <c r="AC6" s="60">
        <v>1.4350000000000001</v>
      </c>
      <c r="AD6" s="60">
        <v>1.4350000000000001</v>
      </c>
      <c r="AE6" s="60">
        <v>1.4350000000000001</v>
      </c>
      <c r="AF6" s="60">
        <v>1.4350000000000001</v>
      </c>
      <c r="AG6" s="60">
        <v>1.4350000000000001</v>
      </c>
      <c r="AH6" s="60">
        <v>1.4350000000000001</v>
      </c>
      <c r="AI6" s="60">
        <v>1.4350000000000001</v>
      </c>
      <c r="AJ6" s="61"/>
      <c r="AK6" s="60">
        <v>1.4350000000000001</v>
      </c>
      <c r="AL6" s="60">
        <v>1.4350000000000001</v>
      </c>
      <c r="AM6" s="60">
        <v>1.4350000000000001</v>
      </c>
      <c r="AN6" s="60">
        <v>1.4350000000000001</v>
      </c>
      <c r="AO6" s="60">
        <v>1.4350000000000001</v>
      </c>
      <c r="AP6" s="60">
        <v>1.4350000000000001</v>
      </c>
      <c r="AQ6" s="60">
        <v>1.4350000000000001</v>
      </c>
      <c r="AR6" s="60">
        <v>1.4350000000000001</v>
      </c>
      <c r="AS6" s="60">
        <v>1.4350000000000001</v>
      </c>
      <c r="AT6" s="60">
        <v>1.4350000000000001</v>
      </c>
      <c r="AU6" s="61"/>
      <c r="AV6" s="60">
        <v>1.4350000000000001</v>
      </c>
      <c r="AW6" s="60">
        <v>1.4350000000000001</v>
      </c>
      <c r="AX6" s="60">
        <v>1.4350000000000001</v>
      </c>
      <c r="AY6" s="60">
        <v>1.4350000000000001</v>
      </c>
      <c r="AZ6" s="60">
        <v>1.4350000000000001</v>
      </c>
      <c r="BA6" s="60">
        <v>1.4350000000000001</v>
      </c>
      <c r="BB6" s="60">
        <v>1.4350000000000001</v>
      </c>
      <c r="BC6" s="60">
        <v>1.4350000000000001</v>
      </c>
      <c r="BD6" s="60">
        <v>1.4350000000000001</v>
      </c>
      <c r="BE6" s="60">
        <v>1.4350000000000001</v>
      </c>
      <c r="BF6" s="61"/>
      <c r="BG6" s="30" t="s">
        <v>12</v>
      </c>
    </row>
    <row r="7" spans="1:59" ht="13.8">
      <c r="A7" s="46"/>
      <c r="B7" s="246" t="s">
        <v>231</v>
      </c>
      <c r="C7" s="246"/>
      <c r="D7" s="60">
        <v>1.2829999999999999</v>
      </c>
      <c r="E7" s="60">
        <v>1.2829999999999999</v>
      </c>
      <c r="F7" s="60">
        <v>1.2829999999999999</v>
      </c>
      <c r="G7" s="60">
        <v>1.2829999999999999</v>
      </c>
      <c r="H7" s="60">
        <v>1.2829999999999999</v>
      </c>
      <c r="I7" s="60">
        <v>1.2829999999999999</v>
      </c>
      <c r="J7" s="60">
        <v>1.2829999999999999</v>
      </c>
      <c r="K7" s="60">
        <v>1.2829999999999999</v>
      </c>
      <c r="L7" s="60">
        <v>1.2829999999999999</v>
      </c>
      <c r="M7" s="60">
        <v>1.2829999999999999</v>
      </c>
      <c r="N7" s="61"/>
      <c r="O7" s="60">
        <v>1.2829999999999999</v>
      </c>
      <c r="P7" s="60">
        <v>1.2829999999999999</v>
      </c>
      <c r="Q7" s="60">
        <v>1.2829999999999999</v>
      </c>
      <c r="R7" s="60">
        <v>1.2829999999999999</v>
      </c>
      <c r="S7" s="60">
        <v>1.2829999999999999</v>
      </c>
      <c r="T7" s="60">
        <v>1.2829999999999999</v>
      </c>
      <c r="U7" s="60">
        <v>1.2829999999999999</v>
      </c>
      <c r="V7" s="60">
        <v>1.2829999999999999</v>
      </c>
      <c r="W7" s="60">
        <v>1.2829999999999999</v>
      </c>
      <c r="X7" s="60">
        <v>1.2829999999999999</v>
      </c>
      <c r="Y7" s="61"/>
      <c r="Z7" s="60">
        <v>1.2829999999999999</v>
      </c>
      <c r="AA7" s="60">
        <v>1.2829999999999999</v>
      </c>
      <c r="AB7" s="60">
        <v>1.2829999999999999</v>
      </c>
      <c r="AC7" s="60">
        <v>1.2829999999999999</v>
      </c>
      <c r="AD7" s="60">
        <v>1.2829999999999999</v>
      </c>
      <c r="AE7" s="60">
        <v>1.2829999999999999</v>
      </c>
      <c r="AF7" s="60">
        <v>1.2829999999999999</v>
      </c>
      <c r="AG7" s="60">
        <v>1.2829999999999999</v>
      </c>
      <c r="AH7" s="60">
        <v>1.2829999999999999</v>
      </c>
      <c r="AI7" s="60">
        <v>1.2829999999999999</v>
      </c>
      <c r="AJ7" s="61"/>
      <c r="AK7" s="60">
        <v>1.2829999999999999</v>
      </c>
      <c r="AL7" s="60">
        <v>1.2829999999999999</v>
      </c>
      <c r="AM7" s="60">
        <v>1.2829999999999999</v>
      </c>
      <c r="AN7" s="60">
        <v>1.2829999999999999</v>
      </c>
      <c r="AO7" s="60">
        <v>1.2829999999999999</v>
      </c>
      <c r="AP7" s="60">
        <v>1.2829999999999999</v>
      </c>
      <c r="AQ7" s="60">
        <v>1.2829999999999999</v>
      </c>
      <c r="AR7" s="60">
        <v>1.2829999999999999</v>
      </c>
      <c r="AS7" s="60">
        <v>1.2829999999999999</v>
      </c>
      <c r="AT7" s="60">
        <v>1.2829999999999999</v>
      </c>
      <c r="AU7" s="61"/>
      <c r="AV7" s="60">
        <v>1.2829999999999999</v>
      </c>
      <c r="AW7" s="60">
        <v>1.2829999999999999</v>
      </c>
      <c r="AX7" s="60">
        <v>1.2829999999999999</v>
      </c>
      <c r="AY7" s="60">
        <v>1.2829999999999999</v>
      </c>
      <c r="AZ7" s="60">
        <v>1.2829999999999999</v>
      </c>
      <c r="BA7" s="60">
        <v>1.2829999999999999</v>
      </c>
      <c r="BB7" s="60">
        <v>1.2829999999999999</v>
      </c>
      <c r="BC7" s="60">
        <v>1.2829999999999999</v>
      </c>
      <c r="BD7" s="60">
        <v>1.2829999999999999</v>
      </c>
      <c r="BE7" s="60">
        <v>1.2829999999999999</v>
      </c>
      <c r="BF7" s="61"/>
      <c r="BG7" s="30" t="s">
        <v>12</v>
      </c>
    </row>
    <row r="8" spans="1:59" ht="13.8">
      <c r="A8" s="258"/>
      <c r="B8" s="259"/>
      <c r="C8" s="260"/>
      <c r="D8" s="117"/>
      <c r="E8" s="117"/>
      <c r="F8" s="117"/>
      <c r="G8" s="117"/>
      <c r="H8" s="117"/>
      <c r="I8" s="117"/>
      <c r="J8" s="117"/>
      <c r="K8" s="117"/>
      <c r="L8" s="62"/>
      <c r="M8" s="62"/>
      <c r="N8" s="61"/>
      <c r="O8" s="117"/>
      <c r="P8" s="117"/>
      <c r="Q8" s="117"/>
      <c r="R8" s="117"/>
      <c r="S8" s="117"/>
      <c r="T8" s="117"/>
      <c r="U8" s="117"/>
      <c r="V8" s="117"/>
      <c r="W8" s="117"/>
      <c r="X8" s="62"/>
      <c r="Y8" s="61"/>
      <c r="Z8" s="117"/>
      <c r="AA8" s="117"/>
      <c r="AB8" s="117"/>
      <c r="AC8" s="117"/>
      <c r="AD8" s="117"/>
      <c r="AE8" s="117"/>
      <c r="AF8" s="117"/>
      <c r="AG8" s="117"/>
      <c r="AH8" s="62"/>
      <c r="AI8" s="62"/>
      <c r="AJ8" s="61"/>
      <c r="AK8" s="117"/>
      <c r="AL8" s="117"/>
      <c r="AM8" s="117"/>
      <c r="AN8" s="117"/>
      <c r="AO8" s="117"/>
      <c r="AP8" s="117"/>
      <c r="AQ8" s="117"/>
      <c r="AR8" s="117"/>
      <c r="AS8" s="62"/>
      <c r="AT8" s="62"/>
      <c r="AU8" s="61"/>
      <c r="AV8" s="117"/>
      <c r="AW8" s="117"/>
      <c r="AX8" s="117"/>
      <c r="AY8" s="117"/>
      <c r="AZ8" s="117"/>
      <c r="BA8" s="117"/>
      <c r="BB8" s="117"/>
      <c r="BC8" s="117"/>
      <c r="BD8" s="62"/>
      <c r="BE8" s="62"/>
      <c r="BF8" s="61"/>
      <c r="BG8" s="31"/>
    </row>
    <row r="9" spans="1:59" ht="14.1" customHeight="1">
      <c r="A9" s="243" t="s">
        <v>220</v>
      </c>
      <c r="B9" s="247" t="s">
        <v>142</v>
      </c>
      <c r="C9" s="63" t="s">
        <v>98</v>
      </c>
      <c r="D9" s="140" t="s">
        <v>257</v>
      </c>
      <c r="E9" s="140">
        <v>46</v>
      </c>
      <c r="F9" s="140" t="s">
        <v>257</v>
      </c>
      <c r="G9" s="140">
        <v>43</v>
      </c>
      <c r="H9" s="140" t="s">
        <v>257</v>
      </c>
      <c r="I9" s="140">
        <v>42</v>
      </c>
      <c r="J9" s="140">
        <v>41</v>
      </c>
      <c r="K9" s="140">
        <v>39</v>
      </c>
      <c r="L9" s="140" t="s">
        <v>257</v>
      </c>
      <c r="M9" s="140" t="s">
        <v>257</v>
      </c>
      <c r="N9" s="65"/>
      <c r="O9" s="140" t="s">
        <v>257</v>
      </c>
      <c r="P9" s="140">
        <v>46</v>
      </c>
      <c r="Q9" s="140" t="s">
        <v>257</v>
      </c>
      <c r="R9" s="140">
        <v>43</v>
      </c>
      <c r="S9" s="140" t="s">
        <v>257</v>
      </c>
      <c r="T9" s="140">
        <v>42</v>
      </c>
      <c r="U9" s="140">
        <v>41</v>
      </c>
      <c r="V9" s="140">
        <v>39</v>
      </c>
      <c r="W9" s="140" t="s">
        <v>318</v>
      </c>
      <c r="X9" s="140" t="s">
        <v>257</v>
      </c>
      <c r="Y9" s="65"/>
      <c r="Z9" s="140" t="s">
        <v>257</v>
      </c>
      <c r="AA9" s="140">
        <v>31</v>
      </c>
      <c r="AB9" s="140" t="s">
        <v>257</v>
      </c>
      <c r="AC9" s="140">
        <v>29</v>
      </c>
      <c r="AD9" s="140" t="s">
        <v>257</v>
      </c>
      <c r="AE9" s="216">
        <v>28</v>
      </c>
      <c r="AF9" s="140" t="s">
        <v>257</v>
      </c>
      <c r="AG9" s="140" t="s">
        <v>257</v>
      </c>
      <c r="AH9" s="140" t="s">
        <v>257</v>
      </c>
      <c r="AI9" s="140" t="s">
        <v>257</v>
      </c>
      <c r="AJ9" s="65"/>
      <c r="AK9" s="140" t="s">
        <v>257</v>
      </c>
      <c r="AL9" s="140" t="s">
        <v>257</v>
      </c>
      <c r="AM9" s="64">
        <v>69</v>
      </c>
      <c r="AN9" s="64">
        <v>69</v>
      </c>
      <c r="AO9" s="216">
        <v>67</v>
      </c>
      <c r="AP9" s="216">
        <v>67</v>
      </c>
      <c r="AQ9" s="140" t="s">
        <v>257</v>
      </c>
      <c r="AR9" s="140" t="s">
        <v>257</v>
      </c>
      <c r="AS9" s="140" t="s">
        <v>257</v>
      </c>
      <c r="AT9" s="140" t="s">
        <v>257</v>
      </c>
      <c r="AU9" s="65"/>
      <c r="AV9" s="140" t="s">
        <v>257</v>
      </c>
      <c r="AW9" s="140" t="s">
        <v>257</v>
      </c>
      <c r="AX9" s="216" t="s">
        <v>318</v>
      </c>
      <c r="AY9" s="216" t="s">
        <v>318</v>
      </c>
      <c r="AZ9" s="216" t="s">
        <v>318</v>
      </c>
      <c r="BA9" s="216" t="s">
        <v>318</v>
      </c>
      <c r="BB9" s="140" t="s">
        <v>257</v>
      </c>
      <c r="BC9" s="140" t="s">
        <v>257</v>
      </c>
      <c r="BD9" s="140" t="s">
        <v>257</v>
      </c>
      <c r="BE9" s="140" t="s">
        <v>257</v>
      </c>
      <c r="BF9" s="65"/>
      <c r="BG9" s="30" t="s">
        <v>13</v>
      </c>
    </row>
    <row r="10" spans="1:59" ht="14.1" customHeight="1">
      <c r="A10" s="243"/>
      <c r="B10" s="248"/>
      <c r="C10" s="63" t="s">
        <v>99</v>
      </c>
      <c r="D10" s="140" t="s">
        <v>257</v>
      </c>
      <c r="E10" s="140">
        <v>55</v>
      </c>
      <c r="F10" s="140" t="s">
        <v>257</v>
      </c>
      <c r="G10" s="140">
        <v>51</v>
      </c>
      <c r="H10" s="140" t="s">
        <v>257</v>
      </c>
      <c r="I10" s="140">
        <v>49</v>
      </c>
      <c r="J10" s="140">
        <v>48</v>
      </c>
      <c r="K10" s="140">
        <v>46</v>
      </c>
      <c r="L10" s="140" t="s">
        <v>257</v>
      </c>
      <c r="M10" s="140" t="s">
        <v>257</v>
      </c>
      <c r="N10" s="65"/>
      <c r="O10" s="140" t="s">
        <v>257</v>
      </c>
      <c r="P10" s="140">
        <v>55</v>
      </c>
      <c r="Q10" s="140" t="s">
        <v>257</v>
      </c>
      <c r="R10" s="140">
        <v>51</v>
      </c>
      <c r="S10" s="140" t="s">
        <v>257</v>
      </c>
      <c r="T10" s="140">
        <v>49</v>
      </c>
      <c r="U10" s="140">
        <v>48</v>
      </c>
      <c r="V10" s="140">
        <v>46</v>
      </c>
      <c r="W10" s="140" t="s">
        <v>257</v>
      </c>
      <c r="X10" s="140" t="s">
        <v>257</v>
      </c>
      <c r="Y10" s="65"/>
      <c r="Z10" s="140" t="s">
        <v>257</v>
      </c>
      <c r="AA10" s="140">
        <v>34</v>
      </c>
      <c r="AB10" s="140" t="s">
        <v>257</v>
      </c>
      <c r="AC10" s="140">
        <v>32</v>
      </c>
      <c r="AD10" s="140" t="s">
        <v>257</v>
      </c>
      <c r="AE10" s="216">
        <v>32</v>
      </c>
      <c r="AF10" s="140" t="s">
        <v>257</v>
      </c>
      <c r="AG10" s="140" t="s">
        <v>257</v>
      </c>
      <c r="AH10" s="140" t="s">
        <v>257</v>
      </c>
      <c r="AI10" s="140" t="s">
        <v>257</v>
      </c>
      <c r="AJ10" s="65"/>
      <c r="AK10" s="140" t="s">
        <v>257</v>
      </c>
      <c r="AL10" s="140" t="s">
        <v>257</v>
      </c>
      <c r="AM10" s="64">
        <v>69</v>
      </c>
      <c r="AN10" s="64">
        <v>69</v>
      </c>
      <c r="AO10" s="216">
        <v>67</v>
      </c>
      <c r="AP10" s="216">
        <v>67</v>
      </c>
      <c r="AQ10" s="140" t="s">
        <v>257</v>
      </c>
      <c r="AR10" s="140" t="s">
        <v>257</v>
      </c>
      <c r="AS10" s="140" t="s">
        <v>257</v>
      </c>
      <c r="AT10" s="140" t="s">
        <v>257</v>
      </c>
      <c r="AU10" s="65"/>
      <c r="AV10" s="140" t="s">
        <v>257</v>
      </c>
      <c r="AW10" s="140" t="s">
        <v>257</v>
      </c>
      <c r="AX10" s="216">
        <v>85</v>
      </c>
      <c r="AY10" s="216">
        <v>85</v>
      </c>
      <c r="AZ10" s="216">
        <v>83</v>
      </c>
      <c r="BA10" s="216">
        <v>83</v>
      </c>
      <c r="BB10" s="140" t="s">
        <v>257</v>
      </c>
      <c r="BC10" s="140" t="s">
        <v>257</v>
      </c>
      <c r="BD10" s="140" t="s">
        <v>257</v>
      </c>
      <c r="BE10" s="140" t="s">
        <v>257</v>
      </c>
      <c r="BF10" s="65"/>
      <c r="BG10" s="30" t="s">
        <v>13</v>
      </c>
    </row>
    <row r="11" spans="1:59" ht="14.1" customHeight="1">
      <c r="A11" s="244" t="s">
        <v>221</v>
      </c>
      <c r="B11" s="262" t="s">
        <v>212</v>
      </c>
      <c r="C11" s="63" t="s">
        <v>98</v>
      </c>
      <c r="D11" s="140" t="s">
        <v>257</v>
      </c>
      <c r="E11" s="140">
        <v>12</v>
      </c>
      <c r="F11" s="140" t="s">
        <v>257</v>
      </c>
      <c r="G11" s="140">
        <v>12</v>
      </c>
      <c r="H11" s="140" t="s">
        <v>257</v>
      </c>
      <c r="I11" s="140">
        <v>12</v>
      </c>
      <c r="J11" s="140">
        <v>12</v>
      </c>
      <c r="K11" s="140">
        <v>12</v>
      </c>
      <c r="L11" s="140" t="s">
        <v>257</v>
      </c>
      <c r="M11" s="140" t="s">
        <v>257</v>
      </c>
      <c r="N11" s="65"/>
      <c r="O11" s="140" t="s">
        <v>257</v>
      </c>
      <c r="P11" s="140">
        <v>12</v>
      </c>
      <c r="Q11" s="140" t="s">
        <v>257</v>
      </c>
      <c r="R11" s="140">
        <v>12</v>
      </c>
      <c r="S11" s="140" t="s">
        <v>257</v>
      </c>
      <c r="T11" s="140">
        <v>12</v>
      </c>
      <c r="U11" s="140">
        <v>12</v>
      </c>
      <c r="V11" s="140">
        <v>12</v>
      </c>
      <c r="W11" s="140" t="s">
        <v>257</v>
      </c>
      <c r="X11" s="140" t="s">
        <v>257</v>
      </c>
      <c r="Y11" s="65"/>
      <c r="Z11" s="140" t="s">
        <v>257</v>
      </c>
      <c r="AA11" s="140">
        <v>12</v>
      </c>
      <c r="AB11" s="140" t="s">
        <v>257</v>
      </c>
      <c r="AC11" s="140">
        <v>11</v>
      </c>
      <c r="AD11" s="140" t="s">
        <v>257</v>
      </c>
      <c r="AE11" s="216">
        <v>10</v>
      </c>
      <c r="AF11" s="140" t="s">
        <v>257</v>
      </c>
      <c r="AG11" s="140" t="s">
        <v>257</v>
      </c>
      <c r="AH11" s="140" t="s">
        <v>257</v>
      </c>
      <c r="AI11" s="140" t="s">
        <v>257</v>
      </c>
      <c r="AJ11" s="65"/>
      <c r="AK11" s="140" t="s">
        <v>257</v>
      </c>
      <c r="AL11" s="140" t="s">
        <v>257</v>
      </c>
      <c r="AM11" s="64">
        <v>11</v>
      </c>
      <c r="AN11" s="64">
        <v>11</v>
      </c>
      <c r="AO11" s="216">
        <v>11</v>
      </c>
      <c r="AP11" s="216">
        <v>11</v>
      </c>
      <c r="AQ11" s="140" t="s">
        <v>257</v>
      </c>
      <c r="AR11" s="140" t="s">
        <v>257</v>
      </c>
      <c r="AS11" s="140" t="s">
        <v>257</v>
      </c>
      <c r="AT11" s="140" t="s">
        <v>257</v>
      </c>
      <c r="AU11" s="65"/>
      <c r="AV11" s="140" t="s">
        <v>257</v>
      </c>
      <c r="AW11" s="140" t="s">
        <v>257</v>
      </c>
      <c r="AX11" s="216" t="s">
        <v>318</v>
      </c>
      <c r="AY11" s="216" t="s">
        <v>318</v>
      </c>
      <c r="AZ11" s="216" t="s">
        <v>318</v>
      </c>
      <c r="BA11" s="216" t="s">
        <v>318</v>
      </c>
      <c r="BB11" s="140" t="s">
        <v>257</v>
      </c>
      <c r="BC11" s="140" t="s">
        <v>257</v>
      </c>
      <c r="BD11" s="140" t="s">
        <v>257</v>
      </c>
      <c r="BE11" s="140" t="s">
        <v>257</v>
      </c>
      <c r="BF11" s="65"/>
      <c r="BG11" s="30" t="s">
        <v>13</v>
      </c>
    </row>
    <row r="12" spans="1:59" ht="14.1" customHeight="1">
      <c r="A12" s="245"/>
      <c r="B12" s="263"/>
      <c r="C12" s="63" t="s">
        <v>99</v>
      </c>
      <c r="D12" s="140" t="s">
        <v>257</v>
      </c>
      <c r="E12" s="140">
        <v>12</v>
      </c>
      <c r="F12" s="140" t="s">
        <v>257</v>
      </c>
      <c r="G12" s="140">
        <v>12</v>
      </c>
      <c r="H12" s="140" t="s">
        <v>257</v>
      </c>
      <c r="I12" s="140">
        <v>12</v>
      </c>
      <c r="J12" s="140">
        <v>12</v>
      </c>
      <c r="K12" s="140">
        <v>12</v>
      </c>
      <c r="L12" s="140" t="s">
        <v>257</v>
      </c>
      <c r="M12" s="140" t="s">
        <v>257</v>
      </c>
      <c r="N12" s="65"/>
      <c r="O12" s="140" t="s">
        <v>257</v>
      </c>
      <c r="P12" s="140">
        <v>12</v>
      </c>
      <c r="Q12" s="140" t="s">
        <v>257</v>
      </c>
      <c r="R12" s="140">
        <v>12</v>
      </c>
      <c r="S12" s="140" t="s">
        <v>257</v>
      </c>
      <c r="T12" s="140">
        <v>12</v>
      </c>
      <c r="U12" s="140">
        <v>12</v>
      </c>
      <c r="V12" s="140">
        <v>12</v>
      </c>
      <c r="W12" s="140" t="s">
        <v>257</v>
      </c>
      <c r="X12" s="140" t="s">
        <v>257</v>
      </c>
      <c r="Y12" s="65"/>
      <c r="Z12" s="140" t="s">
        <v>257</v>
      </c>
      <c r="AA12" s="140">
        <v>12</v>
      </c>
      <c r="AB12" s="140" t="s">
        <v>257</v>
      </c>
      <c r="AC12" s="140">
        <v>12</v>
      </c>
      <c r="AD12" s="140" t="s">
        <v>257</v>
      </c>
      <c r="AE12" s="216">
        <v>12</v>
      </c>
      <c r="AF12" s="140" t="s">
        <v>257</v>
      </c>
      <c r="AG12" s="140" t="s">
        <v>257</v>
      </c>
      <c r="AH12" s="140" t="s">
        <v>257</v>
      </c>
      <c r="AI12" s="140" t="s">
        <v>257</v>
      </c>
      <c r="AJ12" s="65"/>
      <c r="AK12" s="140" t="s">
        <v>257</v>
      </c>
      <c r="AL12" s="140" t="s">
        <v>257</v>
      </c>
      <c r="AM12" s="64">
        <v>11</v>
      </c>
      <c r="AN12" s="64">
        <v>11</v>
      </c>
      <c r="AO12" s="216">
        <v>11</v>
      </c>
      <c r="AP12" s="216">
        <v>11</v>
      </c>
      <c r="AQ12" s="140" t="s">
        <v>257</v>
      </c>
      <c r="AR12" s="140" t="s">
        <v>257</v>
      </c>
      <c r="AS12" s="140" t="s">
        <v>257</v>
      </c>
      <c r="AT12" s="140" t="s">
        <v>257</v>
      </c>
      <c r="AU12" s="65"/>
      <c r="AV12" s="140" t="s">
        <v>257</v>
      </c>
      <c r="AW12" s="140" t="s">
        <v>257</v>
      </c>
      <c r="AX12" s="216">
        <v>22</v>
      </c>
      <c r="AY12" s="216">
        <v>22</v>
      </c>
      <c r="AZ12" s="216">
        <v>22</v>
      </c>
      <c r="BA12" s="216">
        <v>22</v>
      </c>
      <c r="BB12" s="140" t="s">
        <v>257</v>
      </c>
      <c r="BC12" s="140" t="s">
        <v>257</v>
      </c>
      <c r="BD12" s="140" t="s">
        <v>257</v>
      </c>
      <c r="BE12" s="140" t="s">
        <v>257</v>
      </c>
      <c r="BF12" s="65"/>
      <c r="BG12" s="30" t="s">
        <v>13</v>
      </c>
    </row>
    <row r="13" spans="1:59" ht="14.1" customHeight="1">
      <c r="A13" s="244" t="s">
        <v>222</v>
      </c>
      <c r="B13" s="262" t="s">
        <v>214</v>
      </c>
      <c r="C13" s="63" t="s">
        <v>98</v>
      </c>
      <c r="D13" s="140" t="s">
        <v>257</v>
      </c>
      <c r="E13" s="140">
        <v>15</v>
      </c>
      <c r="F13" s="140" t="s">
        <v>257</v>
      </c>
      <c r="G13" s="140">
        <v>15</v>
      </c>
      <c r="H13" s="140" t="s">
        <v>257</v>
      </c>
      <c r="I13" s="140">
        <v>15</v>
      </c>
      <c r="J13" s="140">
        <v>15</v>
      </c>
      <c r="K13" s="140">
        <v>15</v>
      </c>
      <c r="L13" s="140" t="s">
        <v>257</v>
      </c>
      <c r="M13" s="140" t="s">
        <v>257</v>
      </c>
      <c r="N13" s="65"/>
      <c r="O13" s="140" t="s">
        <v>257</v>
      </c>
      <c r="P13" s="140">
        <v>15</v>
      </c>
      <c r="Q13" s="140" t="s">
        <v>257</v>
      </c>
      <c r="R13" s="140">
        <v>15</v>
      </c>
      <c r="S13" s="140" t="s">
        <v>257</v>
      </c>
      <c r="T13" s="140">
        <v>15</v>
      </c>
      <c r="U13" s="140">
        <v>15</v>
      </c>
      <c r="V13" s="140">
        <v>15</v>
      </c>
      <c r="W13" s="140" t="s">
        <v>257</v>
      </c>
      <c r="X13" s="140" t="s">
        <v>257</v>
      </c>
      <c r="Y13" s="65"/>
      <c r="Z13" s="140" t="s">
        <v>257</v>
      </c>
      <c r="AA13" s="140">
        <v>13</v>
      </c>
      <c r="AB13" s="140" t="s">
        <v>257</v>
      </c>
      <c r="AC13" s="140">
        <v>11</v>
      </c>
      <c r="AD13" s="140" t="s">
        <v>257</v>
      </c>
      <c r="AE13" s="216">
        <v>11</v>
      </c>
      <c r="AF13" s="140" t="s">
        <v>257</v>
      </c>
      <c r="AG13" s="140" t="s">
        <v>257</v>
      </c>
      <c r="AH13" s="140" t="s">
        <v>257</v>
      </c>
      <c r="AI13" s="140" t="s">
        <v>257</v>
      </c>
      <c r="AJ13" s="65"/>
      <c r="AK13" s="140" t="s">
        <v>257</v>
      </c>
      <c r="AL13" s="140" t="s">
        <v>257</v>
      </c>
      <c r="AM13" s="64">
        <v>16</v>
      </c>
      <c r="AN13" s="64">
        <v>16</v>
      </c>
      <c r="AO13" s="216">
        <v>14</v>
      </c>
      <c r="AP13" s="216">
        <v>14</v>
      </c>
      <c r="AQ13" s="140" t="s">
        <v>257</v>
      </c>
      <c r="AR13" s="140" t="s">
        <v>257</v>
      </c>
      <c r="AS13" s="140" t="s">
        <v>257</v>
      </c>
      <c r="AT13" s="140" t="s">
        <v>257</v>
      </c>
      <c r="AU13" s="65"/>
      <c r="AV13" s="140" t="s">
        <v>257</v>
      </c>
      <c r="AW13" s="140" t="s">
        <v>257</v>
      </c>
      <c r="AX13" s="216" t="s">
        <v>318</v>
      </c>
      <c r="AY13" s="216" t="s">
        <v>318</v>
      </c>
      <c r="AZ13" s="216" t="s">
        <v>318</v>
      </c>
      <c r="BA13" s="216" t="s">
        <v>318</v>
      </c>
      <c r="BB13" s="140" t="s">
        <v>257</v>
      </c>
      <c r="BC13" s="140" t="s">
        <v>257</v>
      </c>
      <c r="BD13" s="140" t="s">
        <v>257</v>
      </c>
      <c r="BE13" s="140" t="s">
        <v>257</v>
      </c>
      <c r="BF13" s="65"/>
      <c r="BG13" s="30" t="s">
        <v>13</v>
      </c>
    </row>
    <row r="14" spans="1:59" ht="14.1" customHeight="1">
      <c r="A14" s="245"/>
      <c r="B14" s="263"/>
      <c r="C14" s="63" t="s">
        <v>99</v>
      </c>
      <c r="D14" s="140" t="s">
        <v>257</v>
      </c>
      <c r="E14" s="140">
        <v>15</v>
      </c>
      <c r="F14" s="140" t="s">
        <v>257</v>
      </c>
      <c r="G14" s="140">
        <v>15</v>
      </c>
      <c r="H14" s="140" t="s">
        <v>257</v>
      </c>
      <c r="I14" s="140">
        <v>15</v>
      </c>
      <c r="J14" s="140">
        <v>15</v>
      </c>
      <c r="K14" s="140">
        <v>15</v>
      </c>
      <c r="L14" s="140" t="s">
        <v>257</v>
      </c>
      <c r="M14" s="140" t="s">
        <v>257</v>
      </c>
      <c r="N14" s="65"/>
      <c r="O14" s="140" t="s">
        <v>257</v>
      </c>
      <c r="P14" s="140">
        <v>15</v>
      </c>
      <c r="Q14" s="140" t="s">
        <v>257</v>
      </c>
      <c r="R14" s="140">
        <v>15</v>
      </c>
      <c r="S14" s="140" t="s">
        <v>257</v>
      </c>
      <c r="T14" s="140">
        <v>15</v>
      </c>
      <c r="U14" s="140">
        <v>15</v>
      </c>
      <c r="V14" s="140">
        <v>15</v>
      </c>
      <c r="W14" s="140" t="s">
        <v>257</v>
      </c>
      <c r="X14" s="140" t="s">
        <v>257</v>
      </c>
      <c r="Y14" s="65"/>
      <c r="Z14" s="140" t="s">
        <v>257</v>
      </c>
      <c r="AA14" s="140">
        <v>14</v>
      </c>
      <c r="AB14" s="140" t="s">
        <v>257</v>
      </c>
      <c r="AC14" s="140">
        <v>12</v>
      </c>
      <c r="AD14" s="140" t="s">
        <v>257</v>
      </c>
      <c r="AE14" s="216">
        <v>12</v>
      </c>
      <c r="AF14" s="140" t="s">
        <v>257</v>
      </c>
      <c r="AG14" s="140" t="s">
        <v>257</v>
      </c>
      <c r="AH14" s="140" t="s">
        <v>257</v>
      </c>
      <c r="AI14" s="140" t="s">
        <v>257</v>
      </c>
      <c r="AJ14" s="65"/>
      <c r="AK14" s="140" t="s">
        <v>257</v>
      </c>
      <c r="AL14" s="140" t="s">
        <v>257</v>
      </c>
      <c r="AM14" s="64">
        <v>16</v>
      </c>
      <c r="AN14" s="64">
        <v>16</v>
      </c>
      <c r="AO14" s="216">
        <v>14</v>
      </c>
      <c r="AP14" s="216">
        <v>14</v>
      </c>
      <c r="AQ14" s="140" t="s">
        <v>257</v>
      </c>
      <c r="AR14" s="140" t="s">
        <v>257</v>
      </c>
      <c r="AS14" s="140" t="s">
        <v>257</v>
      </c>
      <c r="AT14" s="140" t="s">
        <v>257</v>
      </c>
      <c r="AU14" s="65"/>
      <c r="AV14" s="140" t="s">
        <v>257</v>
      </c>
      <c r="AW14" s="140" t="s">
        <v>257</v>
      </c>
      <c r="AX14" s="216">
        <v>27</v>
      </c>
      <c r="AY14" s="216">
        <v>27</v>
      </c>
      <c r="AZ14" s="216">
        <v>25</v>
      </c>
      <c r="BA14" s="216">
        <v>25</v>
      </c>
      <c r="BB14" s="140" t="s">
        <v>257</v>
      </c>
      <c r="BC14" s="140" t="s">
        <v>257</v>
      </c>
      <c r="BD14" s="140" t="s">
        <v>257</v>
      </c>
      <c r="BE14" s="140" t="s">
        <v>257</v>
      </c>
      <c r="BF14" s="65"/>
      <c r="BG14" s="30" t="s">
        <v>13</v>
      </c>
    </row>
    <row r="15" spans="1:59" ht="14.1" customHeight="1">
      <c r="A15" s="250" t="s">
        <v>223</v>
      </c>
      <c r="B15" s="247" t="s">
        <v>144</v>
      </c>
      <c r="C15" s="63" t="s">
        <v>98</v>
      </c>
      <c r="D15" s="140" t="s">
        <v>257</v>
      </c>
      <c r="E15" s="140">
        <v>23</v>
      </c>
      <c r="F15" s="140" t="s">
        <v>257</v>
      </c>
      <c r="G15" s="140">
        <v>23</v>
      </c>
      <c r="H15" s="140" t="s">
        <v>257</v>
      </c>
      <c r="I15" s="140">
        <v>23</v>
      </c>
      <c r="J15" s="140">
        <v>23</v>
      </c>
      <c r="K15" s="140">
        <v>23</v>
      </c>
      <c r="L15" s="140" t="s">
        <v>257</v>
      </c>
      <c r="M15" s="140" t="s">
        <v>257</v>
      </c>
      <c r="N15" s="65"/>
      <c r="O15" s="140" t="s">
        <v>257</v>
      </c>
      <c r="P15" s="140">
        <v>23</v>
      </c>
      <c r="Q15" s="140" t="s">
        <v>257</v>
      </c>
      <c r="R15" s="140">
        <v>23</v>
      </c>
      <c r="S15" s="140" t="s">
        <v>257</v>
      </c>
      <c r="T15" s="140">
        <v>23</v>
      </c>
      <c r="U15" s="140">
        <v>23</v>
      </c>
      <c r="V15" s="140">
        <v>23</v>
      </c>
      <c r="W15" s="140" t="s">
        <v>257</v>
      </c>
      <c r="X15" s="140" t="s">
        <v>257</v>
      </c>
      <c r="Y15" s="65"/>
      <c r="Z15" s="140" t="s">
        <v>257</v>
      </c>
      <c r="AA15" s="140">
        <v>22</v>
      </c>
      <c r="AB15" s="140" t="s">
        <v>257</v>
      </c>
      <c r="AC15" s="140">
        <v>17</v>
      </c>
      <c r="AD15" s="140" t="s">
        <v>257</v>
      </c>
      <c r="AE15" s="216">
        <v>16</v>
      </c>
      <c r="AF15" s="140" t="s">
        <v>257</v>
      </c>
      <c r="AG15" s="140" t="s">
        <v>257</v>
      </c>
      <c r="AH15" s="140" t="s">
        <v>257</v>
      </c>
      <c r="AI15" s="140" t="s">
        <v>257</v>
      </c>
      <c r="AJ15" s="65"/>
      <c r="AK15" s="140" t="s">
        <v>257</v>
      </c>
      <c r="AL15" s="140" t="s">
        <v>257</v>
      </c>
      <c r="AM15" s="64">
        <v>38</v>
      </c>
      <c r="AN15" s="64">
        <v>38</v>
      </c>
      <c r="AO15" s="216">
        <v>36</v>
      </c>
      <c r="AP15" s="216">
        <v>36</v>
      </c>
      <c r="AQ15" s="140" t="s">
        <v>257</v>
      </c>
      <c r="AR15" s="140" t="s">
        <v>257</v>
      </c>
      <c r="AS15" s="140" t="s">
        <v>257</v>
      </c>
      <c r="AT15" s="140" t="s">
        <v>257</v>
      </c>
      <c r="AU15" s="65"/>
      <c r="AV15" s="140" t="s">
        <v>257</v>
      </c>
      <c r="AW15" s="140" t="s">
        <v>257</v>
      </c>
      <c r="AX15" s="216" t="s">
        <v>318</v>
      </c>
      <c r="AY15" s="216" t="s">
        <v>318</v>
      </c>
      <c r="AZ15" s="216" t="s">
        <v>318</v>
      </c>
      <c r="BA15" s="216" t="s">
        <v>318</v>
      </c>
      <c r="BB15" s="140" t="s">
        <v>257</v>
      </c>
      <c r="BC15" s="140" t="s">
        <v>257</v>
      </c>
      <c r="BD15" s="140" t="s">
        <v>257</v>
      </c>
      <c r="BE15" s="140" t="s">
        <v>257</v>
      </c>
      <c r="BF15" s="65"/>
      <c r="BG15" s="30" t="s">
        <v>13</v>
      </c>
    </row>
    <row r="16" spans="1:59" ht="14.1" customHeight="1">
      <c r="A16" s="251"/>
      <c r="B16" s="248"/>
      <c r="C16" s="63" t="s">
        <v>99</v>
      </c>
      <c r="D16" s="140" t="s">
        <v>257</v>
      </c>
      <c r="E16" s="140">
        <v>23</v>
      </c>
      <c r="F16" s="140" t="s">
        <v>257</v>
      </c>
      <c r="G16" s="140">
        <v>23</v>
      </c>
      <c r="H16" s="140" t="s">
        <v>257</v>
      </c>
      <c r="I16" s="140">
        <v>23</v>
      </c>
      <c r="J16" s="140">
        <v>23</v>
      </c>
      <c r="K16" s="140">
        <v>23</v>
      </c>
      <c r="L16" s="140" t="s">
        <v>257</v>
      </c>
      <c r="M16" s="140" t="s">
        <v>257</v>
      </c>
      <c r="N16" s="65"/>
      <c r="O16" s="140" t="s">
        <v>257</v>
      </c>
      <c r="P16" s="140">
        <v>23</v>
      </c>
      <c r="Q16" s="140" t="s">
        <v>257</v>
      </c>
      <c r="R16" s="140">
        <v>23</v>
      </c>
      <c r="S16" s="140" t="s">
        <v>257</v>
      </c>
      <c r="T16" s="140">
        <v>23</v>
      </c>
      <c r="U16" s="140">
        <v>23</v>
      </c>
      <c r="V16" s="140">
        <v>23</v>
      </c>
      <c r="W16" s="140" t="s">
        <v>257</v>
      </c>
      <c r="X16" s="140" t="s">
        <v>257</v>
      </c>
      <c r="Y16" s="65"/>
      <c r="Z16" s="140" t="s">
        <v>257</v>
      </c>
      <c r="AA16" s="140">
        <v>22</v>
      </c>
      <c r="AB16" s="140" t="s">
        <v>257</v>
      </c>
      <c r="AC16" s="140">
        <v>17</v>
      </c>
      <c r="AD16" s="140" t="s">
        <v>257</v>
      </c>
      <c r="AE16" s="216">
        <v>17</v>
      </c>
      <c r="AF16" s="140" t="s">
        <v>257</v>
      </c>
      <c r="AG16" s="140" t="s">
        <v>257</v>
      </c>
      <c r="AH16" s="140" t="s">
        <v>257</v>
      </c>
      <c r="AI16" s="140" t="s">
        <v>257</v>
      </c>
      <c r="AJ16" s="65"/>
      <c r="AK16" s="140" t="s">
        <v>257</v>
      </c>
      <c r="AL16" s="140" t="s">
        <v>257</v>
      </c>
      <c r="AM16" s="64">
        <v>38</v>
      </c>
      <c r="AN16" s="64">
        <v>38</v>
      </c>
      <c r="AO16" s="216">
        <v>36</v>
      </c>
      <c r="AP16" s="216">
        <v>36</v>
      </c>
      <c r="AQ16" s="140" t="s">
        <v>257</v>
      </c>
      <c r="AR16" s="140" t="s">
        <v>257</v>
      </c>
      <c r="AS16" s="140" t="s">
        <v>257</v>
      </c>
      <c r="AT16" s="140" t="s">
        <v>257</v>
      </c>
      <c r="AU16" s="65"/>
      <c r="AV16" s="140" t="s">
        <v>257</v>
      </c>
      <c r="AW16" s="140" t="s">
        <v>257</v>
      </c>
      <c r="AX16" s="216">
        <v>49</v>
      </c>
      <c r="AY16" s="216">
        <v>49</v>
      </c>
      <c r="AZ16" s="216">
        <v>47</v>
      </c>
      <c r="BA16" s="216">
        <v>47</v>
      </c>
      <c r="BB16" s="140" t="s">
        <v>257</v>
      </c>
      <c r="BC16" s="140" t="s">
        <v>257</v>
      </c>
      <c r="BD16" s="140" t="s">
        <v>257</v>
      </c>
      <c r="BE16" s="140" t="s">
        <v>257</v>
      </c>
      <c r="BF16" s="65"/>
      <c r="BG16" s="30" t="s">
        <v>13</v>
      </c>
    </row>
    <row r="17" spans="1:59" ht="14.1" customHeight="1">
      <c r="A17" s="243" t="s">
        <v>224</v>
      </c>
      <c r="B17" s="246" t="s">
        <v>213</v>
      </c>
      <c r="C17" s="63" t="s">
        <v>98</v>
      </c>
      <c r="D17" s="140" t="s">
        <v>257</v>
      </c>
      <c r="E17" s="140">
        <v>17</v>
      </c>
      <c r="F17" s="140" t="s">
        <v>257</v>
      </c>
      <c r="G17" s="140">
        <v>17</v>
      </c>
      <c r="H17" s="140" t="s">
        <v>257</v>
      </c>
      <c r="I17" s="140">
        <v>17</v>
      </c>
      <c r="J17" s="140">
        <v>17</v>
      </c>
      <c r="K17" s="140">
        <v>17</v>
      </c>
      <c r="L17" s="140" t="s">
        <v>257</v>
      </c>
      <c r="M17" s="140" t="s">
        <v>257</v>
      </c>
      <c r="N17" s="65"/>
      <c r="O17" s="140" t="s">
        <v>257</v>
      </c>
      <c r="P17" s="140">
        <v>22</v>
      </c>
      <c r="Q17" s="140" t="s">
        <v>257</v>
      </c>
      <c r="R17" s="140">
        <v>22</v>
      </c>
      <c r="S17" s="140" t="s">
        <v>257</v>
      </c>
      <c r="T17" s="140">
        <v>22</v>
      </c>
      <c r="U17" s="140">
        <v>22</v>
      </c>
      <c r="V17" s="140">
        <v>22</v>
      </c>
      <c r="W17" s="140" t="s">
        <v>257</v>
      </c>
      <c r="X17" s="140" t="s">
        <v>257</v>
      </c>
      <c r="Y17" s="65"/>
      <c r="Z17" s="140" t="s">
        <v>257</v>
      </c>
      <c r="AA17" s="140">
        <v>17</v>
      </c>
      <c r="AB17" s="140" t="s">
        <v>257</v>
      </c>
      <c r="AC17" s="140">
        <v>15</v>
      </c>
      <c r="AD17" s="140" t="s">
        <v>257</v>
      </c>
      <c r="AE17" s="216">
        <v>15</v>
      </c>
      <c r="AF17" s="140" t="s">
        <v>257</v>
      </c>
      <c r="AG17" s="140" t="s">
        <v>257</v>
      </c>
      <c r="AH17" s="140" t="s">
        <v>257</v>
      </c>
      <c r="AI17" s="140" t="s">
        <v>257</v>
      </c>
      <c r="AJ17" s="65"/>
      <c r="AK17" s="140" t="s">
        <v>257</v>
      </c>
      <c r="AL17" s="140" t="s">
        <v>257</v>
      </c>
      <c r="AM17" s="64">
        <v>38</v>
      </c>
      <c r="AN17" s="64">
        <v>38</v>
      </c>
      <c r="AO17" s="216">
        <v>36</v>
      </c>
      <c r="AP17" s="216">
        <v>36</v>
      </c>
      <c r="AQ17" s="140" t="s">
        <v>257</v>
      </c>
      <c r="AR17" s="140" t="s">
        <v>257</v>
      </c>
      <c r="AS17" s="140" t="s">
        <v>257</v>
      </c>
      <c r="AT17" s="140" t="s">
        <v>257</v>
      </c>
      <c r="AU17" s="65"/>
      <c r="AV17" s="140" t="s">
        <v>257</v>
      </c>
      <c r="AW17" s="140" t="s">
        <v>257</v>
      </c>
      <c r="AX17" s="216" t="s">
        <v>318</v>
      </c>
      <c r="AY17" s="216" t="s">
        <v>318</v>
      </c>
      <c r="AZ17" s="216" t="s">
        <v>318</v>
      </c>
      <c r="BA17" s="216" t="s">
        <v>318</v>
      </c>
      <c r="BB17" s="140" t="s">
        <v>257</v>
      </c>
      <c r="BC17" s="140" t="s">
        <v>257</v>
      </c>
      <c r="BD17" s="140" t="s">
        <v>257</v>
      </c>
      <c r="BE17" s="140" t="s">
        <v>257</v>
      </c>
      <c r="BF17" s="65"/>
      <c r="BG17" s="30" t="s">
        <v>13</v>
      </c>
    </row>
    <row r="18" spans="1:59" ht="14.1" customHeight="1">
      <c r="A18" s="243"/>
      <c r="B18" s="246"/>
      <c r="C18" s="63" t="s">
        <v>99</v>
      </c>
      <c r="D18" s="140" t="s">
        <v>257</v>
      </c>
      <c r="E18" s="140">
        <v>17</v>
      </c>
      <c r="F18" s="140" t="s">
        <v>257</v>
      </c>
      <c r="G18" s="140">
        <v>17</v>
      </c>
      <c r="H18" s="140" t="s">
        <v>257</v>
      </c>
      <c r="I18" s="140">
        <v>17</v>
      </c>
      <c r="J18" s="140">
        <v>17</v>
      </c>
      <c r="K18" s="140">
        <v>17</v>
      </c>
      <c r="L18" s="140" t="s">
        <v>257</v>
      </c>
      <c r="M18" s="140" t="s">
        <v>257</v>
      </c>
      <c r="N18" s="65"/>
      <c r="O18" s="140" t="s">
        <v>257</v>
      </c>
      <c r="P18" s="140">
        <v>22</v>
      </c>
      <c r="Q18" s="140" t="s">
        <v>257</v>
      </c>
      <c r="R18" s="140">
        <v>22</v>
      </c>
      <c r="S18" s="140" t="s">
        <v>257</v>
      </c>
      <c r="T18" s="140">
        <v>22</v>
      </c>
      <c r="U18" s="140">
        <v>22</v>
      </c>
      <c r="V18" s="140">
        <v>22</v>
      </c>
      <c r="W18" s="140" t="s">
        <v>257</v>
      </c>
      <c r="X18" s="140" t="s">
        <v>257</v>
      </c>
      <c r="Y18" s="65"/>
      <c r="Z18" s="140" t="s">
        <v>257</v>
      </c>
      <c r="AA18" s="140">
        <v>19</v>
      </c>
      <c r="AB18" s="140" t="s">
        <v>257</v>
      </c>
      <c r="AC18" s="140">
        <v>17</v>
      </c>
      <c r="AD18" s="140" t="s">
        <v>257</v>
      </c>
      <c r="AE18" s="216">
        <v>17</v>
      </c>
      <c r="AF18" s="140" t="s">
        <v>257</v>
      </c>
      <c r="AG18" s="140" t="s">
        <v>257</v>
      </c>
      <c r="AH18" s="140" t="s">
        <v>257</v>
      </c>
      <c r="AI18" s="140" t="s">
        <v>257</v>
      </c>
      <c r="AJ18" s="65"/>
      <c r="AK18" s="140" t="s">
        <v>257</v>
      </c>
      <c r="AL18" s="140" t="s">
        <v>257</v>
      </c>
      <c r="AM18" s="64">
        <v>38</v>
      </c>
      <c r="AN18" s="64">
        <v>38</v>
      </c>
      <c r="AO18" s="216">
        <v>36</v>
      </c>
      <c r="AP18" s="216">
        <v>36</v>
      </c>
      <c r="AQ18" s="140" t="s">
        <v>257</v>
      </c>
      <c r="AR18" s="140" t="s">
        <v>257</v>
      </c>
      <c r="AS18" s="140" t="s">
        <v>257</v>
      </c>
      <c r="AT18" s="140" t="s">
        <v>257</v>
      </c>
      <c r="AU18" s="65"/>
      <c r="AV18" s="140" t="s">
        <v>257</v>
      </c>
      <c r="AW18" s="140" t="s">
        <v>257</v>
      </c>
      <c r="AX18" s="216">
        <v>49</v>
      </c>
      <c r="AY18" s="216">
        <v>49</v>
      </c>
      <c r="AZ18" s="216">
        <v>47</v>
      </c>
      <c r="BA18" s="216">
        <v>47</v>
      </c>
      <c r="BB18" s="140" t="s">
        <v>257</v>
      </c>
      <c r="BC18" s="140" t="s">
        <v>257</v>
      </c>
      <c r="BD18" s="140" t="s">
        <v>257</v>
      </c>
      <c r="BE18" s="140" t="s">
        <v>257</v>
      </c>
      <c r="BF18" s="65"/>
      <c r="BG18" s="30" t="s">
        <v>13</v>
      </c>
    </row>
    <row r="19" spans="1:59" ht="14.1" customHeight="1">
      <c r="A19" s="243" t="s">
        <v>225</v>
      </c>
      <c r="B19" s="249" t="s">
        <v>146</v>
      </c>
      <c r="C19" s="63" t="s">
        <v>98</v>
      </c>
      <c r="D19" s="140" t="s">
        <v>257</v>
      </c>
      <c r="E19" s="140">
        <v>40</v>
      </c>
      <c r="F19" s="140" t="s">
        <v>257</v>
      </c>
      <c r="G19" s="140">
        <v>37</v>
      </c>
      <c r="H19" s="140" t="s">
        <v>257</v>
      </c>
      <c r="I19" s="140">
        <v>35</v>
      </c>
      <c r="J19" s="140">
        <v>33</v>
      </c>
      <c r="K19" s="140">
        <v>31</v>
      </c>
      <c r="L19" s="140" t="s">
        <v>257</v>
      </c>
      <c r="M19" s="140" t="s">
        <v>257</v>
      </c>
      <c r="N19" s="65"/>
      <c r="O19" s="140" t="s">
        <v>257</v>
      </c>
      <c r="P19" s="140">
        <v>40</v>
      </c>
      <c r="Q19" s="140" t="s">
        <v>257</v>
      </c>
      <c r="R19" s="140">
        <v>37</v>
      </c>
      <c r="S19" s="140" t="s">
        <v>257</v>
      </c>
      <c r="T19" s="140">
        <v>35</v>
      </c>
      <c r="U19" s="140">
        <v>33</v>
      </c>
      <c r="V19" s="140">
        <v>31</v>
      </c>
      <c r="W19" s="140" t="s">
        <v>257</v>
      </c>
      <c r="X19" s="140" t="s">
        <v>257</v>
      </c>
      <c r="Y19" s="65"/>
      <c r="Z19" s="140" t="s">
        <v>257</v>
      </c>
      <c r="AA19" s="140">
        <v>23</v>
      </c>
      <c r="AB19" s="140" t="s">
        <v>257</v>
      </c>
      <c r="AC19" s="140">
        <v>21</v>
      </c>
      <c r="AD19" s="140" t="s">
        <v>257</v>
      </c>
      <c r="AE19" s="216">
        <v>20</v>
      </c>
      <c r="AF19" s="140" t="s">
        <v>257</v>
      </c>
      <c r="AG19" s="140" t="s">
        <v>257</v>
      </c>
      <c r="AH19" s="140" t="s">
        <v>257</v>
      </c>
      <c r="AI19" s="140" t="s">
        <v>257</v>
      </c>
      <c r="AJ19" s="65"/>
      <c r="AK19" s="140" t="s">
        <v>257</v>
      </c>
      <c r="AL19" s="140" t="s">
        <v>257</v>
      </c>
      <c r="AM19" s="64">
        <v>53</v>
      </c>
      <c r="AN19" s="64">
        <v>53</v>
      </c>
      <c r="AO19" s="216">
        <v>51</v>
      </c>
      <c r="AP19" s="216">
        <v>51</v>
      </c>
      <c r="AQ19" s="140" t="s">
        <v>257</v>
      </c>
      <c r="AR19" s="140" t="s">
        <v>257</v>
      </c>
      <c r="AS19" s="140" t="s">
        <v>257</v>
      </c>
      <c r="AT19" s="140" t="s">
        <v>257</v>
      </c>
      <c r="AU19" s="65"/>
      <c r="AV19" s="140" t="s">
        <v>257</v>
      </c>
      <c r="AW19" s="140" t="s">
        <v>257</v>
      </c>
      <c r="AX19" s="216" t="s">
        <v>318</v>
      </c>
      <c r="AY19" s="216" t="s">
        <v>318</v>
      </c>
      <c r="AZ19" s="216" t="s">
        <v>318</v>
      </c>
      <c r="BA19" s="216" t="s">
        <v>318</v>
      </c>
      <c r="BB19" s="140" t="s">
        <v>257</v>
      </c>
      <c r="BC19" s="140" t="s">
        <v>257</v>
      </c>
      <c r="BD19" s="140" t="s">
        <v>257</v>
      </c>
      <c r="BE19" s="140" t="s">
        <v>257</v>
      </c>
      <c r="BF19" s="65"/>
      <c r="BG19" s="30" t="s">
        <v>13</v>
      </c>
    </row>
    <row r="20" spans="1:59" ht="14.1" customHeight="1">
      <c r="A20" s="243"/>
      <c r="B20" s="249"/>
      <c r="C20" s="63" t="s">
        <v>99</v>
      </c>
      <c r="D20" s="140" t="s">
        <v>257</v>
      </c>
      <c r="E20" s="140">
        <v>43</v>
      </c>
      <c r="F20" s="140" t="s">
        <v>257</v>
      </c>
      <c r="G20" s="140">
        <v>38</v>
      </c>
      <c r="H20" s="140" t="s">
        <v>257</v>
      </c>
      <c r="I20" s="140">
        <v>37</v>
      </c>
      <c r="J20" s="140">
        <v>36</v>
      </c>
      <c r="K20" s="140">
        <v>33</v>
      </c>
      <c r="L20" s="140" t="s">
        <v>257</v>
      </c>
      <c r="M20" s="140" t="s">
        <v>257</v>
      </c>
      <c r="N20" s="65"/>
      <c r="O20" s="140" t="s">
        <v>257</v>
      </c>
      <c r="P20" s="140">
        <v>43</v>
      </c>
      <c r="Q20" s="140" t="s">
        <v>257</v>
      </c>
      <c r="R20" s="140">
        <v>39</v>
      </c>
      <c r="S20" s="140" t="s">
        <v>257</v>
      </c>
      <c r="T20" s="140">
        <v>37</v>
      </c>
      <c r="U20" s="140">
        <v>36</v>
      </c>
      <c r="V20" s="140">
        <v>33</v>
      </c>
      <c r="W20" s="140" t="s">
        <v>257</v>
      </c>
      <c r="X20" s="140" t="s">
        <v>257</v>
      </c>
      <c r="Y20" s="65"/>
      <c r="Z20" s="140" t="s">
        <v>257</v>
      </c>
      <c r="AA20" s="140">
        <v>25</v>
      </c>
      <c r="AB20" s="140" t="s">
        <v>257</v>
      </c>
      <c r="AC20" s="140">
        <v>23</v>
      </c>
      <c r="AD20" s="140" t="s">
        <v>257</v>
      </c>
      <c r="AE20" s="216">
        <v>22</v>
      </c>
      <c r="AF20" s="140" t="s">
        <v>257</v>
      </c>
      <c r="AG20" s="140" t="s">
        <v>257</v>
      </c>
      <c r="AH20" s="140" t="s">
        <v>257</v>
      </c>
      <c r="AI20" s="140" t="s">
        <v>257</v>
      </c>
      <c r="AJ20" s="65"/>
      <c r="AK20" s="140" t="s">
        <v>257</v>
      </c>
      <c r="AL20" s="140" t="s">
        <v>257</v>
      </c>
      <c r="AM20" s="64">
        <v>53</v>
      </c>
      <c r="AN20" s="64">
        <v>53</v>
      </c>
      <c r="AO20" s="216">
        <v>51</v>
      </c>
      <c r="AP20" s="216">
        <v>51</v>
      </c>
      <c r="AQ20" s="140" t="s">
        <v>257</v>
      </c>
      <c r="AR20" s="140" t="s">
        <v>257</v>
      </c>
      <c r="AS20" s="140" t="s">
        <v>257</v>
      </c>
      <c r="AT20" s="140" t="s">
        <v>257</v>
      </c>
      <c r="AU20" s="65"/>
      <c r="AV20" s="140" t="s">
        <v>257</v>
      </c>
      <c r="AW20" s="140" t="s">
        <v>257</v>
      </c>
      <c r="AX20" s="216">
        <v>64</v>
      </c>
      <c r="AY20" s="216">
        <v>64</v>
      </c>
      <c r="AZ20" s="216">
        <v>62</v>
      </c>
      <c r="BA20" s="216">
        <v>62</v>
      </c>
      <c r="BB20" s="140" t="s">
        <v>257</v>
      </c>
      <c r="BC20" s="140" t="s">
        <v>257</v>
      </c>
      <c r="BD20" s="140" t="s">
        <v>257</v>
      </c>
      <c r="BE20" s="140" t="s">
        <v>257</v>
      </c>
      <c r="BF20" s="65"/>
      <c r="BG20" s="30" t="s">
        <v>13</v>
      </c>
    </row>
    <row r="21" spans="1:59" ht="14.1" customHeight="1">
      <c r="A21" s="243" t="s">
        <v>226</v>
      </c>
      <c r="B21" s="246" t="s">
        <v>147</v>
      </c>
      <c r="C21" s="63" t="s">
        <v>100</v>
      </c>
      <c r="D21" s="140" t="s">
        <v>257</v>
      </c>
      <c r="E21" s="140">
        <v>125</v>
      </c>
      <c r="F21" s="140" t="s">
        <v>257</v>
      </c>
      <c r="G21" s="140">
        <v>110</v>
      </c>
      <c r="H21" s="140" t="s">
        <v>257</v>
      </c>
      <c r="I21" s="140">
        <v>100</v>
      </c>
      <c r="J21" s="140">
        <v>88</v>
      </c>
      <c r="K21" s="140">
        <v>74</v>
      </c>
      <c r="L21" s="140" t="s">
        <v>257</v>
      </c>
      <c r="M21" s="140" t="s">
        <v>257</v>
      </c>
      <c r="N21" s="65"/>
      <c r="O21" s="140" t="s">
        <v>257</v>
      </c>
      <c r="P21" s="140">
        <v>120</v>
      </c>
      <c r="Q21" s="140" t="s">
        <v>257</v>
      </c>
      <c r="R21" s="140">
        <v>106</v>
      </c>
      <c r="S21" s="140" t="s">
        <v>257</v>
      </c>
      <c r="T21" s="140">
        <v>96</v>
      </c>
      <c r="U21" s="140">
        <v>84</v>
      </c>
      <c r="V21" s="140">
        <v>70</v>
      </c>
      <c r="W21" s="140" t="s">
        <v>257</v>
      </c>
      <c r="X21" s="140" t="s">
        <v>257</v>
      </c>
      <c r="Y21" s="65"/>
      <c r="Z21" s="140" t="s">
        <v>257</v>
      </c>
      <c r="AA21" s="140">
        <v>110</v>
      </c>
      <c r="AB21" s="140" t="s">
        <v>257</v>
      </c>
      <c r="AC21" s="140">
        <v>90</v>
      </c>
      <c r="AD21" s="140" t="s">
        <v>257</v>
      </c>
      <c r="AE21" s="216">
        <v>90</v>
      </c>
      <c r="AF21" s="140" t="s">
        <v>257</v>
      </c>
      <c r="AG21" s="140" t="s">
        <v>257</v>
      </c>
      <c r="AH21" s="140" t="s">
        <v>257</v>
      </c>
      <c r="AI21" s="140" t="s">
        <v>257</v>
      </c>
      <c r="AJ21" s="65"/>
      <c r="AK21" s="140" t="s">
        <v>257</v>
      </c>
      <c r="AL21" s="140" t="s">
        <v>257</v>
      </c>
      <c r="AM21" s="64">
        <v>135</v>
      </c>
      <c r="AN21" s="64">
        <v>135</v>
      </c>
      <c r="AO21" s="216">
        <v>125</v>
      </c>
      <c r="AP21" s="216">
        <v>125</v>
      </c>
      <c r="AQ21" s="140" t="s">
        <v>257</v>
      </c>
      <c r="AR21" s="140" t="s">
        <v>257</v>
      </c>
      <c r="AS21" s="140" t="s">
        <v>257</v>
      </c>
      <c r="AT21" s="140" t="s">
        <v>257</v>
      </c>
      <c r="AU21" s="65"/>
      <c r="AV21" s="140" t="s">
        <v>257</v>
      </c>
      <c r="AW21" s="140" t="s">
        <v>257</v>
      </c>
      <c r="AX21" s="216" t="s">
        <v>318</v>
      </c>
      <c r="AY21" s="216" t="s">
        <v>318</v>
      </c>
      <c r="AZ21" s="216" t="s">
        <v>318</v>
      </c>
      <c r="BA21" s="216" t="s">
        <v>318</v>
      </c>
      <c r="BB21" s="140" t="s">
        <v>257</v>
      </c>
      <c r="BC21" s="140" t="s">
        <v>257</v>
      </c>
      <c r="BD21" s="140" t="s">
        <v>257</v>
      </c>
      <c r="BE21" s="140" t="s">
        <v>257</v>
      </c>
      <c r="BF21" s="65"/>
      <c r="BG21" s="30" t="s">
        <v>13</v>
      </c>
    </row>
    <row r="22" spans="1:59" ht="14.1" customHeight="1">
      <c r="A22" s="243"/>
      <c r="B22" s="246"/>
      <c r="C22" s="63" t="s">
        <v>101</v>
      </c>
      <c r="D22" s="140" t="s">
        <v>257</v>
      </c>
      <c r="E22" s="140">
        <v>125</v>
      </c>
      <c r="F22" s="140" t="s">
        <v>257</v>
      </c>
      <c r="G22" s="140">
        <v>110</v>
      </c>
      <c r="H22" s="140" t="s">
        <v>257</v>
      </c>
      <c r="I22" s="140">
        <v>100</v>
      </c>
      <c r="J22" s="140">
        <v>88</v>
      </c>
      <c r="K22" s="140">
        <v>74</v>
      </c>
      <c r="L22" s="140" t="s">
        <v>257</v>
      </c>
      <c r="M22" s="140" t="s">
        <v>257</v>
      </c>
      <c r="N22" s="65"/>
      <c r="O22" s="140" t="s">
        <v>257</v>
      </c>
      <c r="P22" s="140">
        <v>125</v>
      </c>
      <c r="Q22" s="140" t="s">
        <v>257</v>
      </c>
      <c r="R22" s="140">
        <v>110</v>
      </c>
      <c r="S22" s="140" t="s">
        <v>257</v>
      </c>
      <c r="T22" s="140">
        <v>100</v>
      </c>
      <c r="U22" s="140">
        <v>88</v>
      </c>
      <c r="V22" s="140">
        <v>74</v>
      </c>
      <c r="W22" s="140" t="s">
        <v>257</v>
      </c>
      <c r="X22" s="140" t="s">
        <v>257</v>
      </c>
      <c r="Y22" s="65"/>
      <c r="Z22" s="140" t="s">
        <v>257</v>
      </c>
      <c r="AA22" s="140">
        <v>110</v>
      </c>
      <c r="AB22" s="140" t="s">
        <v>257</v>
      </c>
      <c r="AC22" s="140">
        <v>90</v>
      </c>
      <c r="AD22" s="140" t="s">
        <v>257</v>
      </c>
      <c r="AE22" s="216">
        <v>90</v>
      </c>
      <c r="AF22" s="140" t="s">
        <v>257</v>
      </c>
      <c r="AG22" s="140" t="s">
        <v>257</v>
      </c>
      <c r="AH22" s="140" t="s">
        <v>257</v>
      </c>
      <c r="AI22" s="140" t="s">
        <v>257</v>
      </c>
      <c r="AJ22" s="65"/>
      <c r="AK22" s="140" t="s">
        <v>257</v>
      </c>
      <c r="AL22" s="140" t="s">
        <v>257</v>
      </c>
      <c r="AM22" s="64">
        <v>135</v>
      </c>
      <c r="AN22" s="64">
        <v>135</v>
      </c>
      <c r="AO22" s="216">
        <v>125</v>
      </c>
      <c r="AP22" s="216">
        <v>125</v>
      </c>
      <c r="AQ22" s="140" t="s">
        <v>257</v>
      </c>
      <c r="AR22" s="140" t="s">
        <v>257</v>
      </c>
      <c r="AS22" s="140" t="s">
        <v>257</v>
      </c>
      <c r="AT22" s="140" t="s">
        <v>257</v>
      </c>
      <c r="AU22" s="65"/>
      <c r="AV22" s="140" t="s">
        <v>257</v>
      </c>
      <c r="AW22" s="140" t="s">
        <v>257</v>
      </c>
      <c r="AX22" s="216" t="s">
        <v>318</v>
      </c>
      <c r="AY22" s="216" t="s">
        <v>318</v>
      </c>
      <c r="AZ22" s="216" t="s">
        <v>318</v>
      </c>
      <c r="BA22" s="216" t="s">
        <v>318</v>
      </c>
      <c r="BB22" s="140" t="s">
        <v>257</v>
      </c>
      <c r="BC22" s="140" t="s">
        <v>257</v>
      </c>
      <c r="BD22" s="140" t="s">
        <v>257</v>
      </c>
      <c r="BE22" s="140" t="s">
        <v>257</v>
      </c>
      <c r="BF22" s="65"/>
      <c r="BG22" s="30" t="s">
        <v>13</v>
      </c>
    </row>
    <row r="23" spans="1:59" ht="14.1" customHeight="1">
      <c r="A23" s="243"/>
      <c r="B23" s="246"/>
      <c r="C23" s="63" t="s">
        <v>99</v>
      </c>
      <c r="D23" s="140" t="s">
        <v>257</v>
      </c>
      <c r="E23" s="140">
        <v>180</v>
      </c>
      <c r="F23" s="140" t="s">
        <v>257</v>
      </c>
      <c r="G23" s="140">
        <v>155</v>
      </c>
      <c r="H23" s="140" t="s">
        <v>257</v>
      </c>
      <c r="I23" s="140">
        <v>135</v>
      </c>
      <c r="J23" s="140">
        <v>115</v>
      </c>
      <c r="K23" s="140">
        <v>95</v>
      </c>
      <c r="L23" s="140" t="s">
        <v>257</v>
      </c>
      <c r="M23" s="140" t="s">
        <v>257</v>
      </c>
      <c r="N23" s="65"/>
      <c r="O23" s="140" t="s">
        <v>257</v>
      </c>
      <c r="P23" s="140">
        <v>180</v>
      </c>
      <c r="Q23" s="140" t="s">
        <v>257</v>
      </c>
      <c r="R23" s="140">
        <v>155</v>
      </c>
      <c r="S23" s="140" t="s">
        <v>257</v>
      </c>
      <c r="T23" s="140">
        <v>135</v>
      </c>
      <c r="U23" s="140">
        <v>115</v>
      </c>
      <c r="V23" s="140">
        <v>95</v>
      </c>
      <c r="W23" s="140" t="s">
        <v>257</v>
      </c>
      <c r="X23" s="140" t="s">
        <v>257</v>
      </c>
      <c r="Y23" s="65"/>
      <c r="Z23" s="140" t="s">
        <v>257</v>
      </c>
      <c r="AA23" s="140">
        <v>130</v>
      </c>
      <c r="AB23" s="140" t="s">
        <v>257</v>
      </c>
      <c r="AC23" s="140">
        <v>120</v>
      </c>
      <c r="AD23" s="140" t="s">
        <v>257</v>
      </c>
      <c r="AE23" s="216">
        <v>110</v>
      </c>
      <c r="AF23" s="140" t="s">
        <v>257</v>
      </c>
      <c r="AG23" s="140" t="s">
        <v>257</v>
      </c>
      <c r="AH23" s="140" t="s">
        <v>257</v>
      </c>
      <c r="AI23" s="140" t="s">
        <v>257</v>
      </c>
      <c r="AJ23" s="65"/>
      <c r="AK23" s="140" t="s">
        <v>257</v>
      </c>
      <c r="AL23" s="140" t="s">
        <v>257</v>
      </c>
      <c r="AM23" s="64">
        <v>195</v>
      </c>
      <c r="AN23" s="64">
        <v>195</v>
      </c>
      <c r="AO23" s="216">
        <v>185</v>
      </c>
      <c r="AP23" s="216">
        <v>185</v>
      </c>
      <c r="AQ23" s="140" t="s">
        <v>257</v>
      </c>
      <c r="AR23" s="140" t="s">
        <v>257</v>
      </c>
      <c r="AS23" s="140" t="s">
        <v>257</v>
      </c>
      <c r="AT23" s="140" t="s">
        <v>257</v>
      </c>
      <c r="AU23" s="65"/>
      <c r="AV23" s="140" t="s">
        <v>257</v>
      </c>
      <c r="AW23" s="140" t="s">
        <v>257</v>
      </c>
      <c r="AX23" s="216">
        <v>211</v>
      </c>
      <c r="AY23" s="216">
        <v>211</v>
      </c>
      <c r="AZ23" s="216">
        <v>201</v>
      </c>
      <c r="BA23" s="216">
        <v>201</v>
      </c>
      <c r="BB23" s="140" t="s">
        <v>257</v>
      </c>
      <c r="BC23" s="140" t="s">
        <v>257</v>
      </c>
      <c r="BD23" s="140" t="s">
        <v>257</v>
      </c>
      <c r="BE23" s="140" t="s">
        <v>257</v>
      </c>
      <c r="BF23" s="65"/>
      <c r="BG23" s="30" t="s">
        <v>13</v>
      </c>
    </row>
    <row r="24" spans="1:59" ht="14.1" customHeight="1">
      <c r="A24" s="243" t="s">
        <v>227</v>
      </c>
      <c r="B24" s="246" t="s">
        <v>148</v>
      </c>
      <c r="C24" s="63" t="s">
        <v>100</v>
      </c>
      <c r="D24" s="140" t="s">
        <v>257</v>
      </c>
      <c r="E24" s="140">
        <v>126</v>
      </c>
      <c r="F24" s="140" t="s">
        <v>257</v>
      </c>
      <c r="G24" s="140">
        <v>114</v>
      </c>
      <c r="H24" s="140" t="s">
        <v>257</v>
      </c>
      <c r="I24" s="140">
        <v>103</v>
      </c>
      <c r="J24" s="140">
        <v>91</v>
      </c>
      <c r="K24" s="140">
        <v>79</v>
      </c>
      <c r="L24" s="140" t="s">
        <v>257</v>
      </c>
      <c r="M24" s="140" t="s">
        <v>257</v>
      </c>
      <c r="N24" s="65"/>
      <c r="O24" s="140" t="s">
        <v>257</v>
      </c>
      <c r="P24" s="140">
        <v>122</v>
      </c>
      <c r="Q24" s="140" t="s">
        <v>257</v>
      </c>
      <c r="R24" s="140">
        <v>110</v>
      </c>
      <c r="S24" s="140" t="s">
        <v>257</v>
      </c>
      <c r="T24" s="140">
        <v>99</v>
      </c>
      <c r="U24" s="140">
        <v>87</v>
      </c>
      <c r="V24" s="140">
        <v>75</v>
      </c>
      <c r="W24" s="140" t="s">
        <v>257</v>
      </c>
      <c r="X24" s="140" t="s">
        <v>257</v>
      </c>
      <c r="Y24" s="65"/>
      <c r="Z24" s="140" t="s">
        <v>257</v>
      </c>
      <c r="AA24" s="140">
        <v>110</v>
      </c>
      <c r="AB24" s="140" t="s">
        <v>257</v>
      </c>
      <c r="AC24" s="140">
        <v>90</v>
      </c>
      <c r="AD24" s="140" t="s">
        <v>257</v>
      </c>
      <c r="AE24" s="216">
        <v>90</v>
      </c>
      <c r="AF24" s="140" t="s">
        <v>257</v>
      </c>
      <c r="AG24" s="140" t="s">
        <v>257</v>
      </c>
      <c r="AH24" s="140" t="s">
        <v>257</v>
      </c>
      <c r="AI24" s="140" t="s">
        <v>257</v>
      </c>
      <c r="AJ24" s="65"/>
      <c r="AK24" s="140" t="s">
        <v>257</v>
      </c>
      <c r="AL24" s="140" t="s">
        <v>257</v>
      </c>
      <c r="AM24" s="64">
        <v>135</v>
      </c>
      <c r="AN24" s="64">
        <v>135</v>
      </c>
      <c r="AO24" s="216">
        <v>125</v>
      </c>
      <c r="AP24" s="216">
        <v>125</v>
      </c>
      <c r="AQ24" s="140" t="s">
        <v>257</v>
      </c>
      <c r="AR24" s="140" t="s">
        <v>257</v>
      </c>
      <c r="AS24" s="140" t="s">
        <v>257</v>
      </c>
      <c r="AT24" s="140" t="s">
        <v>257</v>
      </c>
      <c r="AU24" s="65"/>
      <c r="AV24" s="140" t="s">
        <v>257</v>
      </c>
      <c r="AW24" s="140" t="s">
        <v>257</v>
      </c>
      <c r="AX24" s="216" t="s">
        <v>318</v>
      </c>
      <c r="AY24" s="216" t="s">
        <v>318</v>
      </c>
      <c r="AZ24" s="216" t="s">
        <v>318</v>
      </c>
      <c r="BA24" s="216" t="s">
        <v>318</v>
      </c>
      <c r="BB24" s="140" t="s">
        <v>257</v>
      </c>
      <c r="BC24" s="140" t="s">
        <v>257</v>
      </c>
      <c r="BD24" s="140" t="s">
        <v>257</v>
      </c>
      <c r="BE24" s="140" t="s">
        <v>257</v>
      </c>
      <c r="BF24" s="65"/>
      <c r="BG24" s="30" t="s">
        <v>13</v>
      </c>
    </row>
    <row r="25" spans="1:59" ht="14.1" customHeight="1">
      <c r="A25" s="243"/>
      <c r="B25" s="246"/>
      <c r="C25" s="63" t="s">
        <v>101</v>
      </c>
      <c r="D25" s="140" t="s">
        <v>257</v>
      </c>
      <c r="E25" s="140">
        <v>126</v>
      </c>
      <c r="F25" s="140" t="s">
        <v>257</v>
      </c>
      <c r="G25" s="140">
        <v>114</v>
      </c>
      <c r="H25" s="140" t="s">
        <v>257</v>
      </c>
      <c r="I25" s="140">
        <v>103</v>
      </c>
      <c r="J25" s="140">
        <v>91</v>
      </c>
      <c r="K25" s="140">
        <v>79</v>
      </c>
      <c r="L25" s="140" t="s">
        <v>257</v>
      </c>
      <c r="M25" s="140" t="s">
        <v>257</v>
      </c>
      <c r="N25" s="65"/>
      <c r="O25" s="140" t="s">
        <v>257</v>
      </c>
      <c r="P25" s="140">
        <v>126</v>
      </c>
      <c r="Q25" s="140" t="s">
        <v>257</v>
      </c>
      <c r="R25" s="140">
        <v>114</v>
      </c>
      <c r="S25" s="140" t="s">
        <v>257</v>
      </c>
      <c r="T25" s="140">
        <v>103</v>
      </c>
      <c r="U25" s="140">
        <v>91</v>
      </c>
      <c r="V25" s="140">
        <v>79</v>
      </c>
      <c r="W25" s="140" t="s">
        <v>257</v>
      </c>
      <c r="X25" s="140" t="s">
        <v>257</v>
      </c>
      <c r="Y25" s="65"/>
      <c r="Z25" s="140" t="s">
        <v>257</v>
      </c>
      <c r="AA25" s="140">
        <v>110</v>
      </c>
      <c r="AB25" s="140" t="s">
        <v>257</v>
      </c>
      <c r="AC25" s="140">
        <v>90</v>
      </c>
      <c r="AD25" s="140" t="s">
        <v>257</v>
      </c>
      <c r="AE25" s="216">
        <v>90</v>
      </c>
      <c r="AF25" s="140" t="s">
        <v>257</v>
      </c>
      <c r="AG25" s="140" t="s">
        <v>257</v>
      </c>
      <c r="AH25" s="140" t="s">
        <v>257</v>
      </c>
      <c r="AI25" s="140" t="s">
        <v>257</v>
      </c>
      <c r="AJ25" s="65"/>
      <c r="AK25" s="140" t="s">
        <v>257</v>
      </c>
      <c r="AL25" s="140" t="s">
        <v>257</v>
      </c>
      <c r="AM25" s="64">
        <v>135</v>
      </c>
      <c r="AN25" s="64">
        <v>135</v>
      </c>
      <c r="AO25" s="216">
        <v>125</v>
      </c>
      <c r="AP25" s="216">
        <v>125</v>
      </c>
      <c r="AQ25" s="140" t="s">
        <v>257</v>
      </c>
      <c r="AR25" s="140" t="s">
        <v>257</v>
      </c>
      <c r="AS25" s="140" t="s">
        <v>257</v>
      </c>
      <c r="AT25" s="140" t="s">
        <v>257</v>
      </c>
      <c r="AU25" s="65"/>
      <c r="AV25" s="140" t="s">
        <v>257</v>
      </c>
      <c r="AW25" s="140" t="s">
        <v>257</v>
      </c>
      <c r="AX25" s="216" t="s">
        <v>318</v>
      </c>
      <c r="AY25" s="216" t="s">
        <v>318</v>
      </c>
      <c r="AZ25" s="216" t="s">
        <v>318</v>
      </c>
      <c r="BA25" s="216" t="s">
        <v>318</v>
      </c>
      <c r="BB25" s="140" t="s">
        <v>257</v>
      </c>
      <c r="BC25" s="140" t="s">
        <v>257</v>
      </c>
      <c r="BD25" s="140" t="s">
        <v>257</v>
      </c>
      <c r="BE25" s="140" t="s">
        <v>257</v>
      </c>
      <c r="BF25" s="65"/>
      <c r="BG25" s="30" t="s">
        <v>13</v>
      </c>
    </row>
    <row r="26" spans="1:59" ht="14.1" customHeight="1">
      <c r="A26" s="243"/>
      <c r="B26" s="246"/>
      <c r="C26" s="63" t="s">
        <v>99</v>
      </c>
      <c r="D26" s="140" t="s">
        <v>257</v>
      </c>
      <c r="E26" s="140">
        <v>184</v>
      </c>
      <c r="F26" s="140" t="s">
        <v>257</v>
      </c>
      <c r="G26" s="140">
        <v>164</v>
      </c>
      <c r="H26" s="140" t="s">
        <v>257</v>
      </c>
      <c r="I26" s="140">
        <v>146</v>
      </c>
      <c r="J26" s="140">
        <v>127</v>
      </c>
      <c r="K26" s="140">
        <v>107</v>
      </c>
      <c r="L26" s="140" t="s">
        <v>257</v>
      </c>
      <c r="M26" s="140" t="s">
        <v>257</v>
      </c>
      <c r="N26" s="65"/>
      <c r="O26" s="140" t="s">
        <v>257</v>
      </c>
      <c r="P26" s="140">
        <v>184</v>
      </c>
      <c r="Q26" s="140" t="s">
        <v>257</v>
      </c>
      <c r="R26" s="140">
        <v>164</v>
      </c>
      <c r="S26" s="140" t="s">
        <v>257</v>
      </c>
      <c r="T26" s="140">
        <v>146</v>
      </c>
      <c r="U26" s="140">
        <v>127</v>
      </c>
      <c r="V26" s="140">
        <v>107</v>
      </c>
      <c r="W26" s="140" t="s">
        <v>257</v>
      </c>
      <c r="X26" s="140" t="s">
        <v>257</v>
      </c>
      <c r="Y26" s="65"/>
      <c r="Z26" s="140" t="s">
        <v>257</v>
      </c>
      <c r="AA26" s="140">
        <v>140</v>
      </c>
      <c r="AB26" s="140" t="s">
        <v>257</v>
      </c>
      <c r="AC26" s="140">
        <v>130</v>
      </c>
      <c r="AD26" s="140" t="s">
        <v>257</v>
      </c>
      <c r="AE26" s="216">
        <v>120</v>
      </c>
      <c r="AF26" s="140" t="s">
        <v>257</v>
      </c>
      <c r="AG26" s="140" t="s">
        <v>257</v>
      </c>
      <c r="AH26" s="140" t="s">
        <v>257</v>
      </c>
      <c r="AI26" s="140" t="s">
        <v>257</v>
      </c>
      <c r="AJ26" s="65"/>
      <c r="AK26" s="140" t="s">
        <v>257</v>
      </c>
      <c r="AL26" s="140" t="s">
        <v>257</v>
      </c>
      <c r="AM26" s="64">
        <v>195</v>
      </c>
      <c r="AN26" s="64">
        <v>195</v>
      </c>
      <c r="AO26" s="216">
        <v>185</v>
      </c>
      <c r="AP26" s="216">
        <v>185</v>
      </c>
      <c r="AQ26" s="140" t="s">
        <v>257</v>
      </c>
      <c r="AR26" s="140" t="s">
        <v>257</v>
      </c>
      <c r="AS26" s="140" t="s">
        <v>257</v>
      </c>
      <c r="AT26" s="140" t="s">
        <v>257</v>
      </c>
      <c r="AU26" s="65"/>
      <c r="AV26" s="140" t="s">
        <v>257</v>
      </c>
      <c r="AW26" s="140" t="s">
        <v>257</v>
      </c>
      <c r="AX26" s="216">
        <v>211</v>
      </c>
      <c r="AY26" s="216">
        <v>211</v>
      </c>
      <c r="AZ26" s="216">
        <v>201</v>
      </c>
      <c r="BA26" s="216">
        <v>201</v>
      </c>
      <c r="BB26" s="140" t="s">
        <v>257</v>
      </c>
      <c r="BC26" s="140" t="s">
        <v>257</v>
      </c>
      <c r="BD26" s="140" t="s">
        <v>257</v>
      </c>
      <c r="BE26" s="140" t="s">
        <v>257</v>
      </c>
      <c r="BF26" s="65"/>
      <c r="BG26" s="30" t="s">
        <v>13</v>
      </c>
    </row>
    <row r="27" spans="1:59" ht="14.1" customHeight="1">
      <c r="A27" s="243" t="s">
        <v>249</v>
      </c>
      <c r="B27" s="249" t="s">
        <v>149</v>
      </c>
      <c r="C27" s="63" t="s">
        <v>98</v>
      </c>
      <c r="D27" s="140" t="s">
        <v>257</v>
      </c>
      <c r="E27" s="140">
        <v>170</v>
      </c>
      <c r="F27" s="140" t="s">
        <v>257</v>
      </c>
      <c r="G27" s="140">
        <v>165</v>
      </c>
      <c r="H27" s="140" t="s">
        <v>257</v>
      </c>
      <c r="I27" s="140">
        <v>160</v>
      </c>
      <c r="J27" s="140">
        <v>160</v>
      </c>
      <c r="K27" s="140">
        <v>155</v>
      </c>
      <c r="L27" s="140" t="s">
        <v>257</v>
      </c>
      <c r="M27" s="140" t="s">
        <v>257</v>
      </c>
      <c r="N27" s="65"/>
      <c r="O27" s="140" t="s">
        <v>257</v>
      </c>
      <c r="P27" s="140">
        <v>190</v>
      </c>
      <c r="Q27" s="140" t="s">
        <v>257</v>
      </c>
      <c r="R27" s="140">
        <v>184</v>
      </c>
      <c r="S27" s="140" t="s">
        <v>257</v>
      </c>
      <c r="T27" s="140">
        <v>182</v>
      </c>
      <c r="U27" s="140">
        <v>181</v>
      </c>
      <c r="V27" s="140">
        <v>179</v>
      </c>
      <c r="W27" s="140" t="s">
        <v>257</v>
      </c>
      <c r="X27" s="140" t="s">
        <v>257</v>
      </c>
      <c r="Y27" s="65"/>
      <c r="Z27" s="140" t="s">
        <v>257</v>
      </c>
      <c r="AA27" s="140">
        <v>160</v>
      </c>
      <c r="AB27" s="140" t="s">
        <v>257</v>
      </c>
      <c r="AC27" s="140">
        <v>152</v>
      </c>
      <c r="AD27" s="140" t="s">
        <v>257</v>
      </c>
      <c r="AE27" s="216">
        <v>152</v>
      </c>
      <c r="AF27" s="140" t="s">
        <v>257</v>
      </c>
      <c r="AG27" s="140" t="s">
        <v>257</v>
      </c>
      <c r="AH27" s="140" t="s">
        <v>257</v>
      </c>
      <c r="AI27" s="140" t="s">
        <v>257</v>
      </c>
      <c r="AJ27" s="65"/>
      <c r="AK27" s="140" t="s">
        <v>257</v>
      </c>
      <c r="AL27" s="140" t="s">
        <v>257</v>
      </c>
      <c r="AM27" s="64">
        <v>250</v>
      </c>
      <c r="AN27" s="64">
        <v>250</v>
      </c>
      <c r="AO27" s="216">
        <v>245</v>
      </c>
      <c r="AP27" s="216">
        <v>245</v>
      </c>
      <c r="AQ27" s="140" t="s">
        <v>257</v>
      </c>
      <c r="AR27" s="140" t="s">
        <v>257</v>
      </c>
      <c r="AS27" s="140" t="s">
        <v>257</v>
      </c>
      <c r="AT27" s="140" t="s">
        <v>257</v>
      </c>
      <c r="AU27" s="65"/>
      <c r="AV27" s="140" t="s">
        <v>257</v>
      </c>
      <c r="AW27" s="140" t="s">
        <v>257</v>
      </c>
      <c r="AX27" s="216" t="s">
        <v>318</v>
      </c>
      <c r="AY27" s="216" t="s">
        <v>318</v>
      </c>
      <c r="AZ27" s="216" t="s">
        <v>318</v>
      </c>
      <c r="BA27" s="216" t="s">
        <v>318</v>
      </c>
      <c r="BB27" s="140" t="s">
        <v>257</v>
      </c>
      <c r="BC27" s="140" t="s">
        <v>257</v>
      </c>
      <c r="BD27" s="140" t="s">
        <v>257</v>
      </c>
      <c r="BE27" s="140" t="s">
        <v>257</v>
      </c>
      <c r="BF27" s="65"/>
      <c r="BG27" s="30" t="s">
        <v>13</v>
      </c>
    </row>
    <row r="28" spans="1:59" ht="14.1" customHeight="1">
      <c r="A28" s="243"/>
      <c r="B28" s="249"/>
      <c r="C28" s="63" t="s">
        <v>99</v>
      </c>
      <c r="D28" s="140" t="s">
        <v>257</v>
      </c>
      <c r="E28" s="140">
        <v>170</v>
      </c>
      <c r="F28" s="140" t="s">
        <v>257</v>
      </c>
      <c r="G28" s="140">
        <v>165</v>
      </c>
      <c r="H28" s="140" t="s">
        <v>257</v>
      </c>
      <c r="I28" s="140">
        <v>160</v>
      </c>
      <c r="J28" s="140">
        <v>160</v>
      </c>
      <c r="K28" s="140">
        <v>155</v>
      </c>
      <c r="L28" s="140" t="s">
        <v>257</v>
      </c>
      <c r="M28" s="140" t="s">
        <v>257</v>
      </c>
      <c r="N28" s="65"/>
      <c r="O28" s="140" t="s">
        <v>257</v>
      </c>
      <c r="P28" s="140">
        <v>190</v>
      </c>
      <c r="Q28" s="140" t="s">
        <v>257</v>
      </c>
      <c r="R28" s="140">
        <v>184</v>
      </c>
      <c r="S28" s="140" t="s">
        <v>257</v>
      </c>
      <c r="T28" s="140">
        <v>182</v>
      </c>
      <c r="U28" s="140">
        <v>181</v>
      </c>
      <c r="V28" s="140">
        <v>179</v>
      </c>
      <c r="W28" s="140" t="s">
        <v>257</v>
      </c>
      <c r="X28" s="140" t="s">
        <v>257</v>
      </c>
      <c r="Y28" s="65"/>
      <c r="Z28" s="140" t="s">
        <v>257</v>
      </c>
      <c r="AA28" s="140">
        <v>160</v>
      </c>
      <c r="AB28" s="140" t="s">
        <v>257</v>
      </c>
      <c r="AC28" s="140">
        <v>156</v>
      </c>
      <c r="AD28" s="140" t="s">
        <v>257</v>
      </c>
      <c r="AE28" s="216">
        <v>156</v>
      </c>
      <c r="AF28" s="140" t="s">
        <v>257</v>
      </c>
      <c r="AG28" s="140" t="s">
        <v>257</v>
      </c>
      <c r="AH28" s="140" t="s">
        <v>257</v>
      </c>
      <c r="AI28" s="140" t="s">
        <v>257</v>
      </c>
      <c r="AJ28" s="65"/>
      <c r="AK28" s="140" t="s">
        <v>257</v>
      </c>
      <c r="AL28" s="140" t="s">
        <v>257</v>
      </c>
      <c r="AM28" s="64">
        <v>250</v>
      </c>
      <c r="AN28" s="64">
        <v>250</v>
      </c>
      <c r="AO28" s="216">
        <v>245</v>
      </c>
      <c r="AP28" s="216">
        <v>245</v>
      </c>
      <c r="AQ28" s="140" t="s">
        <v>257</v>
      </c>
      <c r="AR28" s="140" t="s">
        <v>257</v>
      </c>
      <c r="AS28" s="140" t="s">
        <v>257</v>
      </c>
      <c r="AT28" s="140" t="s">
        <v>257</v>
      </c>
      <c r="AU28" s="65"/>
      <c r="AV28" s="140" t="s">
        <v>257</v>
      </c>
      <c r="AW28" s="140" t="s">
        <v>257</v>
      </c>
      <c r="AX28" s="216">
        <v>261</v>
      </c>
      <c r="AY28" s="216">
        <v>261</v>
      </c>
      <c r="AZ28" s="216">
        <v>256</v>
      </c>
      <c r="BA28" s="216">
        <v>256</v>
      </c>
      <c r="BB28" s="140" t="s">
        <v>257</v>
      </c>
      <c r="BC28" s="140" t="s">
        <v>257</v>
      </c>
      <c r="BD28" s="140" t="s">
        <v>257</v>
      </c>
      <c r="BE28" s="140" t="s">
        <v>257</v>
      </c>
      <c r="BF28" s="65"/>
      <c r="BG28" s="30" t="s">
        <v>13</v>
      </c>
    </row>
    <row r="29" spans="1:59" ht="13.8">
      <c r="A29" s="258"/>
      <c r="B29" s="259"/>
      <c r="C29" s="260"/>
      <c r="D29" s="117"/>
      <c r="E29" s="117"/>
      <c r="F29" s="117"/>
      <c r="G29" s="117"/>
      <c r="H29" s="117"/>
      <c r="I29" s="117"/>
      <c r="J29" s="117"/>
      <c r="K29" s="117"/>
      <c r="L29" s="66"/>
      <c r="M29" s="67"/>
      <c r="N29" s="65"/>
      <c r="O29" s="117"/>
      <c r="P29" s="117"/>
      <c r="Q29" s="117"/>
      <c r="R29" s="117"/>
      <c r="S29" s="117"/>
      <c r="T29" s="117"/>
      <c r="U29" s="117"/>
      <c r="V29" s="117"/>
      <c r="W29" s="117"/>
      <c r="X29" s="66"/>
      <c r="Y29" s="65"/>
      <c r="Z29" s="117"/>
      <c r="AA29" s="117"/>
      <c r="AB29" s="117"/>
      <c r="AC29" s="117"/>
      <c r="AD29" s="117"/>
      <c r="AE29" s="117"/>
      <c r="AF29" s="117"/>
      <c r="AG29" s="117"/>
      <c r="AH29" s="66"/>
      <c r="AI29" s="67"/>
      <c r="AJ29" s="65"/>
      <c r="AK29" s="117"/>
      <c r="AL29" s="117"/>
      <c r="AM29" s="117"/>
      <c r="AN29" s="117"/>
      <c r="AO29" s="117"/>
      <c r="AP29" s="117"/>
      <c r="AQ29" s="117"/>
      <c r="AR29" s="117"/>
      <c r="AS29" s="66"/>
      <c r="AT29" s="67"/>
      <c r="AU29" s="65"/>
      <c r="AV29" s="117"/>
      <c r="AW29" s="117"/>
      <c r="AX29" s="117"/>
      <c r="AY29" s="117"/>
      <c r="AZ29" s="117"/>
      <c r="BA29" s="117"/>
      <c r="BB29" s="117"/>
      <c r="BC29" s="117"/>
      <c r="BD29" s="66"/>
      <c r="BE29" s="67"/>
      <c r="BF29" s="65"/>
      <c r="BG29" s="31"/>
    </row>
    <row r="30" spans="1:59" ht="30.75" customHeight="1">
      <c r="A30" s="46"/>
      <c r="B30" s="257" t="s">
        <v>188</v>
      </c>
      <c r="C30" s="257"/>
      <c r="D30" s="64">
        <v>0.93799999999999994</v>
      </c>
      <c r="E30" s="64">
        <v>0.93799999999999994</v>
      </c>
      <c r="F30" s="64">
        <v>1.07</v>
      </c>
      <c r="G30" s="64">
        <v>1.07</v>
      </c>
      <c r="H30" s="64">
        <v>1.25</v>
      </c>
      <c r="I30" s="64">
        <v>1.25</v>
      </c>
      <c r="J30" s="64">
        <v>1.5</v>
      </c>
      <c r="K30" s="64">
        <v>1.875</v>
      </c>
      <c r="L30" s="64">
        <v>1.875</v>
      </c>
      <c r="M30" s="64">
        <v>2.5</v>
      </c>
      <c r="N30" s="65"/>
      <c r="O30" s="64">
        <v>0.93799999999999994</v>
      </c>
      <c r="P30" s="64">
        <v>0.93799999999999994</v>
      </c>
      <c r="Q30" s="64">
        <v>1.07</v>
      </c>
      <c r="R30" s="64">
        <v>1.07</v>
      </c>
      <c r="S30" s="64">
        <v>1.25</v>
      </c>
      <c r="T30" s="64">
        <v>1.25</v>
      </c>
      <c r="U30" s="64">
        <v>1.5</v>
      </c>
      <c r="V30" s="64">
        <v>1.875</v>
      </c>
      <c r="W30" s="64">
        <v>1.875</v>
      </c>
      <c r="X30" s="64">
        <v>2.5</v>
      </c>
      <c r="Y30" s="65"/>
      <c r="Z30" s="64">
        <v>0.93799999999999994</v>
      </c>
      <c r="AA30" s="64">
        <v>0.93799999999999994</v>
      </c>
      <c r="AB30" s="64">
        <v>1.07</v>
      </c>
      <c r="AC30" s="64">
        <v>1.07</v>
      </c>
      <c r="AD30" s="64">
        <v>1.25</v>
      </c>
      <c r="AE30" s="64">
        <v>1.25</v>
      </c>
      <c r="AF30" s="64">
        <v>1.5</v>
      </c>
      <c r="AG30" s="64">
        <v>1.875</v>
      </c>
      <c r="AH30" s="64">
        <v>1.875</v>
      </c>
      <c r="AI30" s="64">
        <v>2.5</v>
      </c>
      <c r="AJ30" s="65"/>
      <c r="AK30" s="64">
        <v>0.93799999999999994</v>
      </c>
      <c r="AL30" s="64">
        <v>0.93799999999999994</v>
      </c>
      <c r="AM30" s="64">
        <v>1.07</v>
      </c>
      <c r="AN30" s="64">
        <v>1.07</v>
      </c>
      <c r="AO30" s="64">
        <v>1.25</v>
      </c>
      <c r="AP30" s="64">
        <v>1.25</v>
      </c>
      <c r="AQ30" s="64">
        <v>1.5</v>
      </c>
      <c r="AR30" s="64">
        <v>1.875</v>
      </c>
      <c r="AS30" s="64">
        <v>1.875</v>
      </c>
      <c r="AT30" s="64">
        <v>2.5</v>
      </c>
      <c r="AU30" s="65"/>
      <c r="AV30" s="64">
        <v>0.93799999999999994</v>
      </c>
      <c r="AW30" s="64">
        <v>0.93799999999999994</v>
      </c>
      <c r="AX30" s="64">
        <v>1.07</v>
      </c>
      <c r="AY30" s="64">
        <v>1.07</v>
      </c>
      <c r="AZ30" s="64">
        <v>1.25</v>
      </c>
      <c r="BA30" s="64">
        <v>1.25</v>
      </c>
      <c r="BB30" s="64">
        <v>1.5</v>
      </c>
      <c r="BC30" s="64">
        <v>1.875</v>
      </c>
      <c r="BD30" s="64">
        <v>1.875</v>
      </c>
      <c r="BE30" s="64">
        <v>2.5</v>
      </c>
      <c r="BF30" s="65"/>
      <c r="BG30" s="30" t="s">
        <v>36</v>
      </c>
    </row>
    <row r="31" spans="1:59" ht="14.1" customHeight="1">
      <c r="A31" s="252" t="s">
        <v>189</v>
      </c>
      <c r="B31" s="247" t="s">
        <v>1</v>
      </c>
      <c r="C31" s="63" t="s">
        <v>98</v>
      </c>
      <c r="D31" s="64">
        <v>6</v>
      </c>
      <c r="E31" s="64">
        <v>6</v>
      </c>
      <c r="F31" s="64">
        <v>6</v>
      </c>
      <c r="G31" s="64">
        <v>6</v>
      </c>
      <c r="H31" s="64">
        <v>6</v>
      </c>
      <c r="I31" s="64">
        <v>6</v>
      </c>
      <c r="J31" s="64">
        <v>6</v>
      </c>
      <c r="K31" s="64">
        <v>7.5</v>
      </c>
      <c r="L31" s="64">
        <v>7.5</v>
      </c>
      <c r="M31" s="64">
        <v>10</v>
      </c>
      <c r="N31" s="65"/>
      <c r="O31" s="64">
        <v>6</v>
      </c>
      <c r="P31" s="64">
        <v>6</v>
      </c>
      <c r="Q31" s="64">
        <v>6</v>
      </c>
      <c r="R31" s="64">
        <v>6</v>
      </c>
      <c r="S31" s="64">
        <v>6</v>
      </c>
      <c r="T31" s="64">
        <v>6</v>
      </c>
      <c r="U31" s="64">
        <v>6</v>
      </c>
      <c r="V31" s="64">
        <v>7.5</v>
      </c>
      <c r="W31" s="64">
        <v>7.5</v>
      </c>
      <c r="X31" s="64">
        <v>10</v>
      </c>
      <c r="Y31" s="65"/>
      <c r="Z31" s="64">
        <v>6</v>
      </c>
      <c r="AA31" s="64">
        <v>6</v>
      </c>
      <c r="AB31" s="64">
        <v>6</v>
      </c>
      <c r="AC31" s="64">
        <v>6</v>
      </c>
      <c r="AD31" s="64">
        <v>6</v>
      </c>
      <c r="AE31" s="64">
        <v>6</v>
      </c>
      <c r="AF31" s="64">
        <v>6</v>
      </c>
      <c r="AG31" s="64">
        <v>7.5</v>
      </c>
      <c r="AH31" s="64">
        <v>7.5</v>
      </c>
      <c r="AI31" s="64">
        <v>10</v>
      </c>
      <c r="AJ31" s="65"/>
      <c r="AK31" s="64">
        <v>6</v>
      </c>
      <c r="AL31" s="64">
        <v>6</v>
      </c>
      <c r="AM31" s="64">
        <v>6</v>
      </c>
      <c r="AN31" s="64">
        <v>6</v>
      </c>
      <c r="AO31" s="64">
        <v>6</v>
      </c>
      <c r="AP31" s="64">
        <v>6</v>
      </c>
      <c r="AQ31" s="64">
        <v>6</v>
      </c>
      <c r="AR31" s="64">
        <v>7.5</v>
      </c>
      <c r="AS31" s="64">
        <v>7.5</v>
      </c>
      <c r="AT31" s="64">
        <v>10</v>
      </c>
      <c r="AU31" s="65"/>
      <c r="AV31" s="64">
        <v>6</v>
      </c>
      <c r="AW31" s="64">
        <v>6</v>
      </c>
      <c r="AX31" s="64">
        <v>6</v>
      </c>
      <c r="AY31" s="64">
        <v>6</v>
      </c>
      <c r="AZ31" s="64">
        <v>6</v>
      </c>
      <c r="BA31" s="64">
        <v>6</v>
      </c>
      <c r="BB31" s="64">
        <v>6</v>
      </c>
      <c r="BC31" s="64">
        <v>7.5</v>
      </c>
      <c r="BD31" s="64">
        <v>7.5</v>
      </c>
      <c r="BE31" s="64">
        <v>10</v>
      </c>
      <c r="BF31" s="65"/>
      <c r="BG31" s="30" t="s">
        <v>36</v>
      </c>
    </row>
    <row r="32" spans="1:59" ht="14.1" customHeight="1">
      <c r="A32" s="253"/>
      <c r="B32" s="248"/>
      <c r="C32" s="63" t="s">
        <v>99</v>
      </c>
      <c r="D32" s="64">
        <v>7.5</v>
      </c>
      <c r="E32" s="64">
        <v>7.5</v>
      </c>
      <c r="F32" s="64">
        <v>7.5</v>
      </c>
      <c r="G32" s="64">
        <v>7.5</v>
      </c>
      <c r="H32" s="64">
        <v>7.5</v>
      </c>
      <c r="I32" s="64">
        <v>7.5</v>
      </c>
      <c r="J32" s="64">
        <v>7.5</v>
      </c>
      <c r="K32" s="64">
        <v>10</v>
      </c>
      <c r="L32" s="64">
        <v>10</v>
      </c>
      <c r="M32" s="64">
        <v>10</v>
      </c>
      <c r="N32" s="65"/>
      <c r="O32" s="64">
        <v>7.5</v>
      </c>
      <c r="P32" s="64">
        <v>7.5</v>
      </c>
      <c r="Q32" s="64">
        <v>7.5</v>
      </c>
      <c r="R32" s="64">
        <v>7.5</v>
      </c>
      <c r="S32" s="64">
        <v>7.5</v>
      </c>
      <c r="T32" s="64">
        <v>7.5</v>
      </c>
      <c r="U32" s="64">
        <v>7.5</v>
      </c>
      <c r="V32" s="64">
        <v>10</v>
      </c>
      <c r="W32" s="64">
        <v>10</v>
      </c>
      <c r="X32" s="64">
        <v>10</v>
      </c>
      <c r="Y32" s="65"/>
      <c r="Z32" s="64">
        <v>7.5</v>
      </c>
      <c r="AA32" s="64">
        <v>7.5</v>
      </c>
      <c r="AB32" s="64">
        <v>7.5</v>
      </c>
      <c r="AC32" s="64">
        <v>7.5</v>
      </c>
      <c r="AD32" s="64">
        <v>7.5</v>
      </c>
      <c r="AE32" s="64">
        <v>7.5</v>
      </c>
      <c r="AF32" s="64">
        <v>7.5</v>
      </c>
      <c r="AG32" s="64">
        <v>10</v>
      </c>
      <c r="AH32" s="64">
        <v>10</v>
      </c>
      <c r="AI32" s="64">
        <v>10</v>
      </c>
      <c r="AJ32" s="65"/>
      <c r="AK32" s="64">
        <v>7.5</v>
      </c>
      <c r="AL32" s="64">
        <v>7.5</v>
      </c>
      <c r="AM32" s="64">
        <v>7.5</v>
      </c>
      <c r="AN32" s="64">
        <v>7.5</v>
      </c>
      <c r="AO32" s="64">
        <v>7.5</v>
      </c>
      <c r="AP32" s="64">
        <v>7.5</v>
      </c>
      <c r="AQ32" s="64">
        <v>7.5</v>
      </c>
      <c r="AR32" s="64">
        <v>10</v>
      </c>
      <c r="AS32" s="64">
        <v>10</v>
      </c>
      <c r="AT32" s="64">
        <v>10</v>
      </c>
      <c r="AU32" s="65"/>
      <c r="AV32" s="64">
        <v>7.5</v>
      </c>
      <c r="AW32" s="64">
        <v>7.5</v>
      </c>
      <c r="AX32" s="64">
        <v>7.5</v>
      </c>
      <c r="AY32" s="64">
        <v>7.5</v>
      </c>
      <c r="AZ32" s="64">
        <v>7.5</v>
      </c>
      <c r="BA32" s="64">
        <v>7.5</v>
      </c>
      <c r="BB32" s="64">
        <v>7.5</v>
      </c>
      <c r="BC32" s="64">
        <v>10</v>
      </c>
      <c r="BD32" s="64">
        <v>10</v>
      </c>
      <c r="BE32" s="64">
        <v>10</v>
      </c>
      <c r="BF32" s="65"/>
      <c r="BG32" s="30" t="s">
        <v>36</v>
      </c>
    </row>
    <row r="33" spans="1:59" ht="18" customHeight="1">
      <c r="A33" s="68" t="s">
        <v>190</v>
      </c>
      <c r="B33" s="246" t="s">
        <v>150</v>
      </c>
      <c r="C33" s="246"/>
      <c r="D33" s="64">
        <v>45.155000000000001</v>
      </c>
      <c r="E33" s="64">
        <v>46.09</v>
      </c>
      <c r="F33" s="64">
        <v>46.84</v>
      </c>
      <c r="G33" s="64">
        <v>47.91</v>
      </c>
      <c r="H33" s="64">
        <v>47.5</v>
      </c>
      <c r="I33" s="64">
        <v>48.75</v>
      </c>
      <c r="J33" s="64">
        <v>49.5</v>
      </c>
      <c r="K33" s="64">
        <v>50.625</v>
      </c>
      <c r="L33" s="64">
        <v>52.5</v>
      </c>
      <c r="M33" s="64">
        <v>52.5</v>
      </c>
      <c r="N33" s="65"/>
      <c r="O33" s="64">
        <v>45.155000000000001</v>
      </c>
      <c r="P33" s="64">
        <v>46.09</v>
      </c>
      <c r="Q33" s="64">
        <v>46.84</v>
      </c>
      <c r="R33" s="64">
        <v>47.91</v>
      </c>
      <c r="S33" s="64">
        <v>47.5</v>
      </c>
      <c r="T33" s="64">
        <v>48.75</v>
      </c>
      <c r="U33" s="64">
        <v>49.5</v>
      </c>
      <c r="V33" s="64">
        <v>50.625</v>
      </c>
      <c r="W33" s="64">
        <v>52.5</v>
      </c>
      <c r="X33" s="64">
        <v>52.5</v>
      </c>
      <c r="Y33" s="65"/>
      <c r="Z33" s="64">
        <v>45.155000000000001</v>
      </c>
      <c r="AA33" s="64">
        <v>46.09</v>
      </c>
      <c r="AB33" s="64">
        <v>46.84</v>
      </c>
      <c r="AC33" s="64">
        <v>47.91</v>
      </c>
      <c r="AD33" s="64">
        <v>47.5</v>
      </c>
      <c r="AE33" s="64">
        <v>48.75</v>
      </c>
      <c r="AF33" s="64">
        <v>49.5</v>
      </c>
      <c r="AG33" s="64">
        <v>50.625</v>
      </c>
      <c r="AH33" s="64">
        <v>52.5</v>
      </c>
      <c r="AI33" s="64">
        <v>52.5</v>
      </c>
      <c r="AJ33" s="65"/>
      <c r="AK33" s="64">
        <v>45.155000000000001</v>
      </c>
      <c r="AL33" s="64">
        <v>46.09</v>
      </c>
      <c r="AM33" s="64">
        <v>46.84</v>
      </c>
      <c r="AN33" s="64">
        <v>47.91</v>
      </c>
      <c r="AO33" s="64">
        <v>47.5</v>
      </c>
      <c r="AP33" s="64">
        <v>48.75</v>
      </c>
      <c r="AQ33" s="64">
        <v>49.5</v>
      </c>
      <c r="AR33" s="64">
        <v>50.625</v>
      </c>
      <c r="AS33" s="64">
        <v>52.5</v>
      </c>
      <c r="AT33" s="64">
        <v>52.5</v>
      </c>
      <c r="AU33" s="65"/>
      <c r="AV33" s="64">
        <v>45.155000000000001</v>
      </c>
      <c r="AW33" s="64">
        <v>46.09</v>
      </c>
      <c r="AX33" s="64">
        <v>46.84</v>
      </c>
      <c r="AY33" s="64">
        <v>47.91</v>
      </c>
      <c r="AZ33" s="64">
        <v>47.5</v>
      </c>
      <c r="BA33" s="64">
        <v>48.75</v>
      </c>
      <c r="BB33" s="64">
        <v>49.5</v>
      </c>
      <c r="BC33" s="64">
        <v>50.625</v>
      </c>
      <c r="BD33" s="64">
        <v>52.5</v>
      </c>
      <c r="BE33" s="64">
        <v>52.5</v>
      </c>
      <c r="BF33" s="65"/>
      <c r="BG33" s="30" t="s">
        <v>36</v>
      </c>
    </row>
    <row r="34" spans="1:59" ht="18" customHeight="1">
      <c r="A34" s="68" t="s">
        <v>191</v>
      </c>
      <c r="B34" s="257" t="s">
        <v>192</v>
      </c>
      <c r="C34" s="246"/>
      <c r="D34" s="64">
        <v>36</v>
      </c>
      <c r="E34" s="64">
        <v>36</v>
      </c>
      <c r="F34" s="64">
        <v>34</v>
      </c>
      <c r="G34" s="64">
        <v>34</v>
      </c>
      <c r="H34" s="64">
        <v>35</v>
      </c>
      <c r="I34" s="64">
        <v>35</v>
      </c>
      <c r="J34" s="64">
        <v>36</v>
      </c>
      <c r="K34" s="64">
        <v>37.5</v>
      </c>
      <c r="L34" s="64">
        <v>37.5</v>
      </c>
      <c r="M34" s="64">
        <v>37.5</v>
      </c>
      <c r="N34" s="65"/>
      <c r="O34" s="64">
        <v>36</v>
      </c>
      <c r="P34" s="64">
        <v>36</v>
      </c>
      <c r="Q34" s="64">
        <v>34</v>
      </c>
      <c r="R34" s="64">
        <v>34</v>
      </c>
      <c r="S34" s="64">
        <v>35</v>
      </c>
      <c r="T34" s="64">
        <v>35</v>
      </c>
      <c r="U34" s="64">
        <v>36</v>
      </c>
      <c r="V34" s="64">
        <v>37.5</v>
      </c>
      <c r="W34" s="64">
        <v>37.5</v>
      </c>
      <c r="X34" s="64">
        <v>37.5</v>
      </c>
      <c r="Y34" s="65"/>
      <c r="Z34" s="64">
        <v>36</v>
      </c>
      <c r="AA34" s="64">
        <v>36</v>
      </c>
      <c r="AB34" s="64">
        <v>34</v>
      </c>
      <c r="AC34" s="64">
        <v>34</v>
      </c>
      <c r="AD34" s="64">
        <v>35</v>
      </c>
      <c r="AE34" s="64">
        <v>35</v>
      </c>
      <c r="AF34" s="64">
        <v>36</v>
      </c>
      <c r="AG34" s="64">
        <v>37.5</v>
      </c>
      <c r="AH34" s="64">
        <v>37.5</v>
      </c>
      <c r="AI34" s="64">
        <v>37.5</v>
      </c>
      <c r="AJ34" s="65"/>
      <c r="AK34" s="64">
        <v>36</v>
      </c>
      <c r="AL34" s="64">
        <v>36</v>
      </c>
      <c r="AM34" s="64">
        <v>34</v>
      </c>
      <c r="AN34" s="64">
        <v>34</v>
      </c>
      <c r="AO34" s="64">
        <v>35</v>
      </c>
      <c r="AP34" s="64">
        <v>35</v>
      </c>
      <c r="AQ34" s="64">
        <v>36</v>
      </c>
      <c r="AR34" s="64">
        <v>37.5</v>
      </c>
      <c r="AS34" s="64">
        <v>37.5</v>
      </c>
      <c r="AT34" s="64">
        <v>37.5</v>
      </c>
      <c r="AU34" s="65"/>
      <c r="AV34" s="64">
        <v>36</v>
      </c>
      <c r="AW34" s="64">
        <v>36</v>
      </c>
      <c r="AX34" s="64">
        <v>34</v>
      </c>
      <c r="AY34" s="64">
        <v>34</v>
      </c>
      <c r="AZ34" s="64">
        <v>35</v>
      </c>
      <c r="BA34" s="64">
        <v>35</v>
      </c>
      <c r="BB34" s="64">
        <v>36</v>
      </c>
      <c r="BC34" s="64">
        <v>37.5</v>
      </c>
      <c r="BD34" s="64">
        <v>37.5</v>
      </c>
      <c r="BE34" s="64">
        <v>37.5</v>
      </c>
      <c r="BF34" s="65"/>
      <c r="BG34" s="30" t="s">
        <v>36</v>
      </c>
    </row>
    <row r="35" spans="1:59" ht="18" customHeight="1">
      <c r="A35" s="68" t="s">
        <v>193</v>
      </c>
      <c r="B35" s="246" t="s">
        <v>151</v>
      </c>
      <c r="C35" s="246"/>
      <c r="D35" s="64">
        <v>110</v>
      </c>
      <c r="E35" s="64">
        <v>110</v>
      </c>
      <c r="F35" s="64">
        <v>110</v>
      </c>
      <c r="G35" s="64">
        <v>110</v>
      </c>
      <c r="H35" s="64">
        <v>110</v>
      </c>
      <c r="I35" s="64">
        <v>110</v>
      </c>
      <c r="J35" s="64">
        <v>110</v>
      </c>
      <c r="K35" s="64">
        <v>110</v>
      </c>
      <c r="L35" s="64">
        <v>110</v>
      </c>
      <c r="M35" s="64">
        <v>110</v>
      </c>
      <c r="N35" s="61"/>
      <c r="O35" s="64">
        <v>160</v>
      </c>
      <c r="P35" s="64">
        <v>160</v>
      </c>
      <c r="Q35" s="64">
        <v>160</v>
      </c>
      <c r="R35" s="64">
        <v>160</v>
      </c>
      <c r="S35" s="64">
        <v>160</v>
      </c>
      <c r="T35" s="64">
        <v>160</v>
      </c>
      <c r="U35" s="64">
        <v>160</v>
      </c>
      <c r="V35" s="64">
        <v>160</v>
      </c>
      <c r="W35" s="64">
        <v>160</v>
      </c>
      <c r="X35" s="64">
        <v>160</v>
      </c>
      <c r="Y35" s="61"/>
      <c r="Z35" s="64">
        <v>260</v>
      </c>
      <c r="AA35" s="64">
        <v>260</v>
      </c>
      <c r="AB35" s="64">
        <v>260</v>
      </c>
      <c r="AC35" s="64">
        <v>260</v>
      </c>
      <c r="AD35" s="64">
        <v>260</v>
      </c>
      <c r="AE35" s="64">
        <v>260</v>
      </c>
      <c r="AF35" s="64">
        <v>260</v>
      </c>
      <c r="AG35" s="64">
        <v>260</v>
      </c>
      <c r="AH35" s="64">
        <v>260</v>
      </c>
      <c r="AI35" s="64">
        <v>260</v>
      </c>
      <c r="AJ35" s="61"/>
      <c r="AK35" s="64">
        <v>350</v>
      </c>
      <c r="AL35" s="64">
        <v>350</v>
      </c>
      <c r="AM35" s="64">
        <v>350</v>
      </c>
      <c r="AN35" s="64">
        <v>350</v>
      </c>
      <c r="AO35" s="64">
        <v>350</v>
      </c>
      <c r="AP35" s="64">
        <v>350</v>
      </c>
      <c r="AQ35" s="64">
        <v>350</v>
      </c>
      <c r="AR35" s="64">
        <v>350</v>
      </c>
      <c r="AS35" s="64">
        <v>350</v>
      </c>
      <c r="AT35" s="64">
        <v>350</v>
      </c>
      <c r="AU35" s="61"/>
      <c r="AV35" s="64">
        <v>350</v>
      </c>
      <c r="AW35" s="64">
        <v>350</v>
      </c>
      <c r="AX35" s="64">
        <v>350</v>
      </c>
      <c r="AY35" s="64">
        <v>350</v>
      </c>
      <c r="AZ35" s="64">
        <v>350</v>
      </c>
      <c r="BA35" s="64">
        <v>350</v>
      </c>
      <c r="BB35" s="64">
        <v>350</v>
      </c>
      <c r="BC35" s="64">
        <v>350</v>
      </c>
      <c r="BD35" s="64">
        <v>350</v>
      </c>
      <c r="BE35" s="64">
        <v>350</v>
      </c>
      <c r="BF35" s="61"/>
      <c r="BG35" s="30" t="s">
        <v>36</v>
      </c>
    </row>
    <row r="36" spans="1:59" ht="18" customHeight="1">
      <c r="A36" s="68" t="s">
        <v>194</v>
      </c>
      <c r="B36" s="246" t="s">
        <v>92</v>
      </c>
      <c r="C36" s="246"/>
      <c r="D36" s="64">
        <v>7.8</v>
      </c>
      <c r="E36" s="64">
        <v>7.8</v>
      </c>
      <c r="F36" s="64">
        <v>7.8</v>
      </c>
      <c r="G36" s="64">
        <v>7.8</v>
      </c>
      <c r="H36" s="64">
        <v>7.8</v>
      </c>
      <c r="I36" s="64">
        <v>7.8</v>
      </c>
      <c r="J36" s="64">
        <v>7.8</v>
      </c>
      <c r="K36" s="64">
        <v>7.8</v>
      </c>
      <c r="L36" s="64">
        <v>7.8</v>
      </c>
      <c r="M36" s="64">
        <v>7.8</v>
      </c>
      <c r="N36" s="61"/>
      <c r="O36" s="64">
        <v>7.8</v>
      </c>
      <c r="P36" s="64">
        <v>7.8</v>
      </c>
      <c r="Q36" s="64">
        <v>7.8</v>
      </c>
      <c r="R36" s="64">
        <v>7.8</v>
      </c>
      <c r="S36" s="64">
        <v>7.8</v>
      </c>
      <c r="T36" s="64">
        <v>7.8</v>
      </c>
      <c r="U36" s="64">
        <v>7.8</v>
      </c>
      <c r="V36" s="64">
        <v>7.8</v>
      </c>
      <c r="W36" s="64">
        <v>7.8</v>
      </c>
      <c r="X36" s="64">
        <v>7.8</v>
      </c>
      <c r="Y36" s="61"/>
      <c r="Z36" s="64">
        <v>7.8</v>
      </c>
      <c r="AA36" s="64">
        <v>7.8</v>
      </c>
      <c r="AB36" s="64">
        <v>7.8</v>
      </c>
      <c r="AC36" s="64">
        <v>7.8</v>
      </c>
      <c r="AD36" s="64">
        <v>7.8</v>
      </c>
      <c r="AE36" s="64">
        <v>7.8</v>
      </c>
      <c r="AF36" s="64">
        <v>7.8</v>
      </c>
      <c r="AG36" s="64">
        <v>7.8</v>
      </c>
      <c r="AH36" s="64">
        <v>7.8</v>
      </c>
      <c r="AI36" s="64">
        <v>7.8</v>
      </c>
      <c r="AJ36" s="61"/>
      <c r="AK36" s="64">
        <v>7.8</v>
      </c>
      <c r="AL36" s="64">
        <v>7.8</v>
      </c>
      <c r="AM36" s="64">
        <v>7.8</v>
      </c>
      <c r="AN36" s="64">
        <v>7.8</v>
      </c>
      <c r="AO36" s="64">
        <v>7.8</v>
      </c>
      <c r="AP36" s="64">
        <v>7.8</v>
      </c>
      <c r="AQ36" s="64">
        <v>7.8</v>
      </c>
      <c r="AR36" s="64">
        <v>7.8</v>
      </c>
      <c r="AS36" s="64">
        <v>7.8</v>
      </c>
      <c r="AT36" s="64">
        <v>7.8</v>
      </c>
      <c r="AU36" s="61"/>
      <c r="AV36" s="64">
        <v>7.8</v>
      </c>
      <c r="AW36" s="64">
        <v>7.8</v>
      </c>
      <c r="AX36" s="64">
        <v>7.8</v>
      </c>
      <c r="AY36" s="64">
        <v>7.8</v>
      </c>
      <c r="AZ36" s="64">
        <v>7.8</v>
      </c>
      <c r="BA36" s="64">
        <v>7.8</v>
      </c>
      <c r="BB36" s="64">
        <v>7.8</v>
      </c>
      <c r="BC36" s="64">
        <v>7.8</v>
      </c>
      <c r="BD36" s="64">
        <v>7.8</v>
      </c>
      <c r="BE36" s="64">
        <v>7.8</v>
      </c>
      <c r="BF36" s="61"/>
      <c r="BG36" s="30" t="s">
        <v>201</v>
      </c>
    </row>
    <row r="37" spans="1:59" ht="18" customHeight="1">
      <c r="A37" s="68" t="s">
        <v>229</v>
      </c>
      <c r="B37" s="246" t="s">
        <v>196</v>
      </c>
      <c r="C37" s="246"/>
      <c r="D37" s="64">
        <v>0.93799999999999994</v>
      </c>
      <c r="E37" s="64">
        <v>0.93799999999999994</v>
      </c>
      <c r="F37" s="64">
        <v>1.07</v>
      </c>
      <c r="G37" s="64">
        <v>1.07</v>
      </c>
      <c r="H37" s="64">
        <v>1.25</v>
      </c>
      <c r="I37" s="64">
        <v>1.25</v>
      </c>
      <c r="J37" s="64">
        <v>1.5</v>
      </c>
      <c r="K37" s="64">
        <v>1.875</v>
      </c>
      <c r="L37" s="64">
        <v>1.875</v>
      </c>
      <c r="M37" s="64">
        <v>2.5</v>
      </c>
      <c r="N37" s="61"/>
      <c r="O37" s="64">
        <v>0.93799999999999994</v>
      </c>
      <c r="P37" s="64">
        <v>0.93799999999999994</v>
      </c>
      <c r="Q37" s="64">
        <v>1.07</v>
      </c>
      <c r="R37" s="64">
        <v>1.07</v>
      </c>
      <c r="S37" s="64">
        <v>1.25</v>
      </c>
      <c r="T37" s="64">
        <v>1.25</v>
      </c>
      <c r="U37" s="64">
        <v>1.5</v>
      </c>
      <c r="V37" s="64">
        <v>1.875</v>
      </c>
      <c r="W37" s="64">
        <v>1.875</v>
      </c>
      <c r="X37" s="64">
        <v>2.5</v>
      </c>
      <c r="Y37" s="61"/>
      <c r="Z37" s="64">
        <v>0.93799999999999994</v>
      </c>
      <c r="AA37" s="64">
        <v>0.93799999999999994</v>
      </c>
      <c r="AB37" s="64">
        <v>1.07</v>
      </c>
      <c r="AC37" s="64">
        <v>1.07</v>
      </c>
      <c r="AD37" s="64">
        <v>1.25</v>
      </c>
      <c r="AE37" s="64">
        <v>1.25</v>
      </c>
      <c r="AF37" s="64">
        <v>1.5</v>
      </c>
      <c r="AG37" s="64">
        <v>1.875</v>
      </c>
      <c r="AH37" s="64">
        <v>1.875</v>
      </c>
      <c r="AI37" s="64">
        <v>2.5</v>
      </c>
      <c r="AJ37" s="61"/>
      <c r="AK37" s="64">
        <v>0.93799999999999994</v>
      </c>
      <c r="AL37" s="64">
        <v>0.93799999999999994</v>
      </c>
      <c r="AM37" s="64">
        <v>1.07</v>
      </c>
      <c r="AN37" s="64">
        <v>1.07</v>
      </c>
      <c r="AO37" s="64">
        <v>1.25</v>
      </c>
      <c r="AP37" s="64">
        <v>1.25</v>
      </c>
      <c r="AQ37" s="64">
        <v>1.5</v>
      </c>
      <c r="AR37" s="64">
        <v>1.875</v>
      </c>
      <c r="AS37" s="64">
        <v>1.875</v>
      </c>
      <c r="AT37" s="64">
        <v>2.5</v>
      </c>
      <c r="AU37" s="61"/>
      <c r="AV37" s="64">
        <v>0.93799999999999994</v>
      </c>
      <c r="AW37" s="64">
        <v>0.93799999999999994</v>
      </c>
      <c r="AX37" s="64">
        <v>1.07</v>
      </c>
      <c r="AY37" s="64">
        <v>1.07</v>
      </c>
      <c r="AZ37" s="64">
        <v>1.25</v>
      </c>
      <c r="BA37" s="64">
        <v>1.25</v>
      </c>
      <c r="BB37" s="64">
        <v>1.5</v>
      </c>
      <c r="BC37" s="64">
        <v>1.875</v>
      </c>
      <c r="BD37" s="64">
        <v>1.875</v>
      </c>
      <c r="BE37" s="64">
        <v>2.5</v>
      </c>
      <c r="BF37" s="61"/>
      <c r="BG37" s="30" t="s">
        <v>36</v>
      </c>
    </row>
    <row r="38" spans="1:59" ht="18.75" customHeight="1">
      <c r="A38" s="68" t="s">
        <v>197</v>
      </c>
      <c r="B38" s="246" t="s">
        <v>198</v>
      </c>
      <c r="C38" s="246"/>
      <c r="D38" s="64">
        <v>3.3</v>
      </c>
      <c r="E38" s="64">
        <v>3.3</v>
      </c>
      <c r="F38" s="64">
        <v>3.3</v>
      </c>
      <c r="G38" s="64">
        <v>3.3</v>
      </c>
      <c r="H38" s="64">
        <v>3.3</v>
      </c>
      <c r="I38" s="64">
        <v>3.3</v>
      </c>
      <c r="J38" s="64">
        <v>3.3</v>
      </c>
      <c r="K38" s="64">
        <v>3.3</v>
      </c>
      <c r="L38" s="64">
        <v>3.3</v>
      </c>
      <c r="M38" s="64">
        <v>3.3</v>
      </c>
      <c r="N38" s="61"/>
      <c r="O38" s="64">
        <v>3.3</v>
      </c>
      <c r="P38" s="64">
        <v>3.3</v>
      </c>
      <c r="Q38" s="64">
        <v>3.3</v>
      </c>
      <c r="R38" s="64">
        <v>3.3</v>
      </c>
      <c r="S38" s="64">
        <v>3.3</v>
      </c>
      <c r="T38" s="64">
        <v>3.3</v>
      </c>
      <c r="U38" s="64">
        <v>3.3</v>
      </c>
      <c r="V38" s="64">
        <v>3.3</v>
      </c>
      <c r="W38" s="64">
        <v>3.3</v>
      </c>
      <c r="X38" s="64">
        <v>3.3</v>
      </c>
      <c r="Y38" s="61"/>
      <c r="Z38" s="64">
        <v>3.3</v>
      </c>
      <c r="AA38" s="64">
        <v>3.3</v>
      </c>
      <c r="AB38" s="64">
        <v>3.3</v>
      </c>
      <c r="AC38" s="64">
        <v>3.3</v>
      </c>
      <c r="AD38" s="64">
        <v>3.3</v>
      </c>
      <c r="AE38" s="64">
        <v>3.3</v>
      </c>
      <c r="AF38" s="64">
        <v>3.3</v>
      </c>
      <c r="AG38" s="64">
        <v>3.3</v>
      </c>
      <c r="AH38" s="64">
        <v>3.3</v>
      </c>
      <c r="AI38" s="64">
        <v>3.3</v>
      </c>
      <c r="AJ38" s="61"/>
      <c r="AK38" s="64">
        <v>3.3</v>
      </c>
      <c r="AL38" s="64">
        <v>3.3</v>
      </c>
      <c r="AM38" s="64">
        <v>3.3</v>
      </c>
      <c r="AN38" s="64">
        <v>3.3</v>
      </c>
      <c r="AO38" s="64">
        <v>3.3</v>
      </c>
      <c r="AP38" s="64">
        <v>3.3</v>
      </c>
      <c r="AQ38" s="64">
        <v>3.3</v>
      </c>
      <c r="AR38" s="64">
        <v>3.3</v>
      </c>
      <c r="AS38" s="64">
        <v>3.3</v>
      </c>
      <c r="AT38" s="64">
        <v>3.3</v>
      </c>
      <c r="AU38" s="61"/>
      <c r="AV38" s="64">
        <v>3.3</v>
      </c>
      <c r="AW38" s="64">
        <v>3.3</v>
      </c>
      <c r="AX38" s="64">
        <v>3.3</v>
      </c>
      <c r="AY38" s="64">
        <v>3.3</v>
      </c>
      <c r="AZ38" s="64">
        <v>3.3</v>
      </c>
      <c r="BA38" s="64">
        <v>3.3</v>
      </c>
      <c r="BB38" s="64">
        <v>3.3</v>
      </c>
      <c r="BC38" s="64">
        <v>3.3</v>
      </c>
      <c r="BD38" s="64">
        <v>3.3</v>
      </c>
      <c r="BE38" s="64">
        <v>3.3</v>
      </c>
      <c r="BF38" s="61"/>
      <c r="BG38" s="30" t="s">
        <v>36</v>
      </c>
    </row>
    <row r="39" spans="1:59" ht="18.75" customHeight="1">
      <c r="A39" s="49"/>
      <c r="B39" s="50"/>
      <c r="C39" s="49"/>
      <c r="D39" s="49"/>
      <c r="E39" s="47"/>
      <c r="F39" s="47"/>
      <c r="G39" s="47"/>
      <c r="H39" s="47"/>
      <c r="I39" s="47"/>
      <c r="J39" s="47"/>
      <c r="K39" s="47"/>
      <c r="L39" s="47"/>
      <c r="M39" s="47"/>
      <c r="N39" s="47"/>
      <c r="O39" s="47"/>
      <c r="P39" s="47"/>
      <c r="Q39" s="47"/>
      <c r="R39" s="47"/>
      <c r="S39" s="47"/>
      <c r="T39" s="47"/>
      <c r="U39" s="47"/>
      <c r="V39" s="47"/>
      <c r="W39" s="47"/>
      <c r="X39" s="47"/>
      <c r="Y39" s="47"/>
      <c r="Z39" s="47"/>
      <c r="AA39" s="47"/>
      <c r="AB39" s="47"/>
      <c r="AC39" s="47"/>
      <c r="AD39" s="47"/>
      <c r="AE39" s="47"/>
      <c r="AF39" s="47"/>
      <c r="AG39" s="47"/>
      <c r="AH39" s="47"/>
      <c r="AI39" s="47"/>
      <c r="AJ39" s="47"/>
      <c r="AK39" s="27"/>
    </row>
    <row r="40" spans="1:59" ht="18.75" customHeight="1">
      <c r="A40" s="49"/>
      <c r="B40" s="50"/>
      <c r="C40" s="49"/>
      <c r="D40" s="49"/>
      <c r="E40" s="47"/>
      <c r="F40" s="47"/>
      <c r="G40" s="47"/>
      <c r="H40" s="47"/>
      <c r="I40" s="47"/>
      <c r="J40" s="47"/>
      <c r="K40" s="47"/>
      <c r="L40" s="47"/>
      <c r="M40" s="47"/>
      <c r="N40" s="47"/>
      <c r="O40" s="47"/>
      <c r="P40" s="47"/>
      <c r="Q40" s="47"/>
      <c r="R40" s="47"/>
      <c r="S40" s="47"/>
      <c r="T40" s="47"/>
      <c r="U40" s="47"/>
      <c r="V40" s="47"/>
      <c r="W40" s="47"/>
      <c r="X40" s="47"/>
      <c r="Y40" s="47"/>
      <c r="Z40" s="47"/>
      <c r="AA40" s="47"/>
      <c r="AB40" s="47"/>
      <c r="AC40" s="47"/>
      <c r="AD40" s="47"/>
      <c r="AE40" s="47"/>
      <c r="AF40" s="47"/>
      <c r="AG40" s="47"/>
      <c r="AH40" s="47"/>
      <c r="AI40" s="47"/>
      <c r="AJ40" s="47"/>
      <c r="AK40" s="27"/>
    </row>
    <row r="41" spans="1:59" ht="24" customHeight="1">
      <c r="A41" s="254" t="s">
        <v>300</v>
      </c>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6"/>
    </row>
    <row r="42" spans="1:59" ht="24" hidden="1" customHeight="1">
      <c r="A42" s="49"/>
      <c r="B42" s="50"/>
      <c r="C42" s="49"/>
      <c r="D42" s="47" t="str">
        <f>IF('DDR3 Config'!$G$1=1,'DDR3 Spec'!D5,IF('DDR3 Config'!$G$1=2,'DDR3 Spec'!O5,IF('DDR3 Config'!$G$1=3,'DDR3 Spec'!Z5,IF('DDR3 Config'!$G$1=4,'DDR3 Spec'!AK5,'DDR3 Spec'!AV5))))</f>
        <v>-093E</v>
      </c>
      <c r="E42" s="47" t="str">
        <f>IF('DDR3 Config'!$G$1=1,'DDR3 Spec'!E5,IF('DDR3 Config'!$G$1=2,'DDR3 Spec'!P5,IF('DDR3 Config'!$G$1=3,'DDR3 Spec'!AA5,IF('DDR3 Config'!$G$1=4,'DDR3 Spec'!AL5,'DDR3 Spec'!AW5))))</f>
        <v>-093</v>
      </c>
      <c r="F42" s="47" t="str">
        <f>IF('DDR3 Config'!$G$1=1,'DDR3 Spec'!F5,IF('DDR3 Config'!$G$1=2,'DDR3 Spec'!Q5,IF('DDR3 Config'!$G$1=3,'DDR3 Spec'!AB5,IF('DDR3 Config'!$G$1=4,'DDR3 Spec'!AM5,'DDR3 Spec'!AX5))))</f>
        <v>-107E</v>
      </c>
      <c r="G42" s="47" t="str">
        <f>IF('DDR3 Config'!$G$1=1,'DDR3 Spec'!G5,IF('DDR3 Config'!$G$1=2,'DDR3 Spec'!R5,IF('DDR3 Config'!$G$1=3,'DDR3 Spec'!AC5,IF('DDR3 Config'!$G$1=4,'DDR3 Spec'!AN5,'DDR3 Spec'!AY5))))</f>
        <v>-107</v>
      </c>
      <c r="H42" s="47" t="str">
        <f>IF('DDR3 Config'!$G$1=1,'DDR3 Spec'!H5,IF('DDR3 Config'!$G$1=2,'DDR3 Spec'!S5,IF('DDR3 Config'!$G$1=3,'DDR3 Spec'!AD5,IF('DDR3 Config'!$G$1=4,'DDR3 Spec'!AO5,'DDR3 Spec'!AZ5))))</f>
        <v>-125E</v>
      </c>
      <c r="I42" s="47" t="str">
        <f>IF('DDR3 Config'!$G$1=1,'DDR3 Spec'!I5,IF('DDR3 Config'!$G$1=2,'DDR3 Spec'!T5,IF('DDR3 Config'!$G$1=3,'DDR3 Spec'!AE5,IF('DDR3 Config'!$G$1=4,'DDR3 Spec'!AP5,'DDR3 Spec'!BA5))))</f>
        <v>-125</v>
      </c>
      <c r="J42" s="47" t="str">
        <f>IF('DDR3 Config'!$G$1=1,'DDR3 Spec'!J5,IF('DDR3 Config'!$G$1=2,'DDR3 Spec'!U5,IF('DDR3 Config'!$G$1=3,'DDR3 Spec'!AF5,IF('DDR3 Config'!$G$1=4,'DDR3 Spec'!AQ5,'DDR3 Spec'!BB5))))</f>
        <v>-15E</v>
      </c>
      <c r="K42" s="47" t="str">
        <f>IF('DDR3 Config'!$G$1=1,'DDR3 Spec'!K5,IF('DDR3 Config'!$G$1=2,'DDR3 Spec'!V5,IF('DDR3 Config'!$G$1=3,'DDR3 Spec'!AG5,IF('DDR3 Config'!$G$1=4,'DDR3 Spec'!AR5,'DDR3 Spec'!BC5))))</f>
        <v>-187E</v>
      </c>
      <c r="L42" s="47" t="str">
        <f>IF('DDR3 Config'!$G$1=1,'DDR3 Spec'!L5,IF('DDR3 Config'!$G$1=2,'DDR3 Spec'!W5,IF('DDR3 Config'!$G$1=3,'DDR3 Spec'!AH5,IF('DDR3 Config'!$G$1=4,'DDR3 Spec'!AS5,'DDR3 Spec'!BD5))))</f>
        <v>-187</v>
      </c>
      <c r="M42" s="47" t="str">
        <f>IF('DDR3 Config'!$G$1=1,'DDR3 Spec'!M5,IF('DDR3 Config'!$G$1=2,'DDR3 Spec'!X5,IF('DDR3 Config'!$G$1=3,'DDR3 Spec'!AI5,IF('DDR3 Config'!$G$1=4,'DDR3 Spec'!AT5,'DDR3 Spec'!BE5))))</f>
        <v>-25</v>
      </c>
      <c r="N42" s="47"/>
      <c r="O42" s="47"/>
      <c r="P42" s="47"/>
      <c r="Q42" s="47"/>
      <c r="R42" s="47"/>
      <c r="S42" s="47"/>
      <c r="T42" s="47"/>
      <c r="U42" s="47"/>
      <c r="V42" s="47"/>
      <c r="W42" s="47" t="str">
        <f>'DDR3 Config'!C9</f>
        <v>-125</v>
      </c>
      <c r="X42" s="47"/>
      <c r="Y42" s="47"/>
      <c r="Z42" s="47"/>
      <c r="AA42" s="47"/>
      <c r="AB42" s="47"/>
      <c r="AC42" s="47"/>
      <c r="AD42" s="47"/>
      <c r="AE42" s="47"/>
      <c r="AF42" s="47"/>
      <c r="AG42" s="47"/>
      <c r="AH42" s="47"/>
      <c r="AI42" s="47"/>
      <c r="AJ42" s="47"/>
      <c r="AK42" s="27"/>
    </row>
    <row r="43" spans="1:59" ht="24" hidden="1" customHeight="1">
      <c r="A43" s="49"/>
      <c r="B43" s="50"/>
      <c r="C43" s="49"/>
      <c r="D43" s="47">
        <v>1</v>
      </c>
      <c r="E43" s="47">
        <v>2</v>
      </c>
      <c r="F43" s="47">
        <v>3</v>
      </c>
      <c r="G43" s="47">
        <v>4</v>
      </c>
      <c r="H43" s="47">
        <v>5</v>
      </c>
      <c r="I43" s="47">
        <v>6</v>
      </c>
      <c r="J43" s="47">
        <v>7</v>
      </c>
      <c r="K43" s="47">
        <v>8</v>
      </c>
      <c r="L43" s="47">
        <v>9</v>
      </c>
      <c r="M43" s="47">
        <v>10</v>
      </c>
      <c r="N43" s="47"/>
      <c r="O43" s="47"/>
      <c r="P43" s="47"/>
      <c r="Q43" s="47"/>
      <c r="R43" s="47"/>
      <c r="S43" s="47"/>
      <c r="T43" s="47"/>
      <c r="U43" s="47"/>
      <c r="V43" s="47"/>
      <c r="W43" s="47">
        <f>'DDR3 Config'!H1</f>
        <v>6</v>
      </c>
      <c r="X43" s="47"/>
      <c r="Y43" s="47"/>
      <c r="Z43" s="47"/>
      <c r="AA43" s="47"/>
      <c r="AB43" s="47"/>
      <c r="AC43" s="47"/>
      <c r="AD43" s="47"/>
      <c r="AE43" s="47"/>
      <c r="AF43" s="47"/>
      <c r="AG43" s="47"/>
      <c r="AH43" s="47"/>
      <c r="AI43" s="47"/>
      <c r="AJ43" s="47"/>
      <c r="AK43" s="27"/>
    </row>
    <row r="44" spans="1:59" ht="24" hidden="1" customHeight="1">
      <c r="A44" s="49"/>
      <c r="B44" s="50"/>
      <c r="C44" s="49"/>
      <c r="D44" s="47">
        <f>IF('DDR3 Config'!$G$1=1,'DDR3 Spec'!D6,IF('DDR3 Config'!$G$1=2,'DDR3 Spec'!O6,IF('DDR3 Config'!$G$1=3,'DDR3 Spec'!Z6,IF('DDR3 Config'!$G$1=4,'DDR3 Spec'!AK6,'DDR3 Spec'!AV6))))</f>
        <v>1.4350000000000001</v>
      </c>
      <c r="E44" s="47">
        <f>IF('DDR3 Config'!$G$1=1,'DDR3 Spec'!E6,IF('DDR3 Config'!$G$1=2,'DDR3 Spec'!P6,IF('DDR3 Config'!$G$1=3,'DDR3 Spec'!AA6,IF('DDR3 Config'!$G$1=4,'DDR3 Spec'!AL6,'DDR3 Spec'!AW6))))</f>
        <v>1.4350000000000001</v>
      </c>
      <c r="F44" s="47">
        <f>IF('DDR3 Config'!$G$1=1,'DDR3 Spec'!F6,IF('DDR3 Config'!$G$1=2,'DDR3 Spec'!Q6,IF('DDR3 Config'!$G$1=3,'DDR3 Spec'!AB6,IF('DDR3 Config'!$G$1=4,'DDR3 Spec'!AM6,'DDR3 Spec'!AX6))))</f>
        <v>1.4350000000000001</v>
      </c>
      <c r="G44" s="47">
        <f>IF('DDR3 Config'!$G$1=1,'DDR3 Spec'!G6,IF('DDR3 Config'!$G$1=2,'DDR3 Spec'!R6,IF('DDR3 Config'!$G$1=3,'DDR3 Spec'!AC6,IF('DDR3 Config'!$G$1=4,'DDR3 Spec'!AN6,'DDR3 Spec'!AY6))))</f>
        <v>1.4350000000000001</v>
      </c>
      <c r="H44" s="47">
        <f>IF('DDR3 Config'!$G$1=1,'DDR3 Spec'!H6,IF('DDR3 Config'!$G$1=2,'DDR3 Spec'!S6,IF('DDR3 Config'!$G$1=3,'DDR3 Spec'!AD6,IF('DDR3 Config'!$G$1=4,'DDR3 Spec'!AO6,'DDR3 Spec'!AZ6))))</f>
        <v>1.4350000000000001</v>
      </c>
      <c r="I44" s="47">
        <f>IF('DDR3 Config'!$G$1=1,'DDR3 Spec'!I6,IF('DDR3 Config'!$G$1=2,'DDR3 Spec'!T6,IF('DDR3 Config'!$G$1=3,'DDR3 Spec'!AE6,IF('DDR3 Config'!$G$1=4,'DDR3 Spec'!AP6,'DDR3 Spec'!BA6))))</f>
        <v>1.4350000000000001</v>
      </c>
      <c r="J44" s="47">
        <f>IF('DDR3 Config'!$G$1=1,'DDR3 Spec'!J6,IF('DDR3 Config'!$G$1=2,'DDR3 Spec'!U6,IF('DDR3 Config'!$G$1=3,'DDR3 Spec'!AF6,IF('DDR3 Config'!$G$1=4,'DDR3 Spec'!AQ6,'DDR3 Spec'!BB6))))</f>
        <v>1.4350000000000001</v>
      </c>
      <c r="K44" s="47">
        <f>IF('DDR3 Config'!$G$1=1,'DDR3 Spec'!K6,IF('DDR3 Config'!$G$1=2,'DDR3 Spec'!V6,IF('DDR3 Config'!$G$1=3,'DDR3 Spec'!AG6,IF('DDR3 Config'!$G$1=4,'DDR3 Spec'!AR6,'DDR3 Spec'!BC6))))</f>
        <v>1.4350000000000001</v>
      </c>
      <c r="L44" s="47">
        <f>IF('DDR3 Config'!$G$1=1,'DDR3 Spec'!L6,IF('DDR3 Config'!$G$1=2,'DDR3 Spec'!W6,IF('DDR3 Config'!$G$1=3,'DDR3 Spec'!AH6,IF('DDR3 Config'!$G$1=4,'DDR3 Spec'!AS6,'DDR3 Spec'!BD6))))</f>
        <v>1.4350000000000001</v>
      </c>
      <c r="M44" s="47">
        <f>IF('DDR3 Config'!$G$1=1,'DDR3 Spec'!M6,IF('DDR3 Config'!$G$1=2,'DDR3 Spec'!X6,IF('DDR3 Config'!$G$1=3,'DDR3 Spec'!AI6,IF('DDR3 Config'!$G$1=4,'DDR3 Spec'!AT6,'DDR3 Spec'!BE6))))</f>
        <v>1.4350000000000001</v>
      </c>
      <c r="N44" s="47"/>
      <c r="O44" s="47"/>
      <c r="P44" s="47"/>
      <c r="Q44" s="47"/>
      <c r="R44" s="47"/>
      <c r="S44" s="47"/>
      <c r="T44" s="47"/>
      <c r="U44" s="47"/>
      <c r="V44" s="47"/>
      <c r="W44" s="47">
        <f>HLOOKUP($W$43,$D$43:$M$77,2)</f>
        <v>1.4350000000000001</v>
      </c>
      <c r="X44" s="47"/>
      <c r="Y44" s="47"/>
      <c r="Z44" s="47"/>
      <c r="AA44" s="47"/>
      <c r="AB44" s="47"/>
      <c r="AC44" s="47"/>
      <c r="AD44" s="47"/>
      <c r="AE44" s="47"/>
      <c r="AF44" s="47"/>
      <c r="AG44" s="47"/>
      <c r="AH44" s="47"/>
      <c r="AI44" s="47"/>
      <c r="AJ44" s="47"/>
      <c r="AK44" s="27"/>
    </row>
    <row r="45" spans="1:59" ht="24" hidden="1" customHeight="1">
      <c r="A45" s="49"/>
      <c r="B45" s="50"/>
      <c r="C45" s="49"/>
      <c r="D45" s="47">
        <f>IF('DDR3 Config'!$G$1=1,'DDR3 Spec'!D7,IF('DDR3 Config'!$G$1=2,'DDR3 Spec'!O7,IF('DDR3 Config'!$G$1=3,'DDR3 Spec'!Z7,IF('DDR3 Config'!$G$1=4,'DDR3 Spec'!AK7,'DDR3 Spec'!AV7))))</f>
        <v>1.2829999999999999</v>
      </c>
      <c r="E45" s="47">
        <f>IF('DDR3 Config'!$G$1=1,'DDR3 Spec'!E7,IF('DDR3 Config'!$G$1=2,'DDR3 Spec'!P7,IF('DDR3 Config'!$G$1=3,'DDR3 Spec'!AA7,IF('DDR3 Config'!$G$1=4,'DDR3 Spec'!AL7,'DDR3 Spec'!AW7))))</f>
        <v>1.2829999999999999</v>
      </c>
      <c r="F45" s="47">
        <f>IF('DDR3 Config'!$G$1=1,'DDR3 Spec'!F7,IF('DDR3 Config'!$G$1=2,'DDR3 Spec'!Q7,IF('DDR3 Config'!$G$1=3,'DDR3 Spec'!AB7,IF('DDR3 Config'!$G$1=4,'DDR3 Spec'!AM7,'DDR3 Spec'!AX7))))</f>
        <v>1.2829999999999999</v>
      </c>
      <c r="G45" s="47">
        <f>IF('DDR3 Config'!$G$1=1,'DDR3 Spec'!G7,IF('DDR3 Config'!$G$1=2,'DDR3 Spec'!R7,IF('DDR3 Config'!$G$1=3,'DDR3 Spec'!AC7,IF('DDR3 Config'!$G$1=4,'DDR3 Spec'!AN7,'DDR3 Spec'!AY7))))</f>
        <v>1.2829999999999999</v>
      </c>
      <c r="H45" s="47">
        <f>IF('DDR3 Config'!$G$1=1,'DDR3 Spec'!H7,IF('DDR3 Config'!$G$1=2,'DDR3 Spec'!S7,IF('DDR3 Config'!$G$1=3,'DDR3 Spec'!AD7,IF('DDR3 Config'!$G$1=4,'DDR3 Spec'!AO7,'DDR3 Spec'!AZ7))))</f>
        <v>1.2829999999999999</v>
      </c>
      <c r="I45" s="47">
        <f>IF('DDR3 Config'!$G$1=1,'DDR3 Spec'!I7,IF('DDR3 Config'!$G$1=2,'DDR3 Spec'!T7,IF('DDR3 Config'!$G$1=3,'DDR3 Spec'!AE7,IF('DDR3 Config'!$G$1=4,'DDR3 Spec'!AP7,'DDR3 Spec'!BA7))))</f>
        <v>1.2829999999999999</v>
      </c>
      <c r="J45" s="47">
        <f>IF('DDR3 Config'!$G$1=1,'DDR3 Spec'!J7,IF('DDR3 Config'!$G$1=2,'DDR3 Spec'!U7,IF('DDR3 Config'!$G$1=3,'DDR3 Spec'!AF7,IF('DDR3 Config'!$G$1=4,'DDR3 Spec'!AQ7,'DDR3 Spec'!BB7))))</f>
        <v>1.2829999999999999</v>
      </c>
      <c r="K45" s="47">
        <f>IF('DDR3 Config'!$G$1=1,'DDR3 Spec'!K7,IF('DDR3 Config'!$G$1=2,'DDR3 Spec'!V7,IF('DDR3 Config'!$G$1=3,'DDR3 Spec'!AG7,IF('DDR3 Config'!$G$1=4,'DDR3 Spec'!AR7,'DDR3 Spec'!BC7))))</f>
        <v>1.2829999999999999</v>
      </c>
      <c r="L45" s="47">
        <f>IF('DDR3 Config'!$G$1=1,'DDR3 Spec'!L7,IF('DDR3 Config'!$G$1=2,'DDR3 Spec'!W7,IF('DDR3 Config'!$G$1=3,'DDR3 Spec'!AH7,IF('DDR3 Config'!$G$1=4,'DDR3 Spec'!AS7,'DDR3 Spec'!BD7))))</f>
        <v>1.2829999999999999</v>
      </c>
      <c r="M45" s="47">
        <f>IF('DDR3 Config'!$G$1=1,'DDR3 Spec'!M7,IF('DDR3 Config'!$G$1=2,'DDR3 Spec'!X7,IF('DDR3 Config'!$G$1=3,'DDR3 Spec'!AI7,IF('DDR3 Config'!$G$1=4,'DDR3 Spec'!AT7,'DDR3 Spec'!BE7))))</f>
        <v>1.2829999999999999</v>
      </c>
      <c r="N45" s="47"/>
      <c r="O45" s="47"/>
      <c r="P45" s="47"/>
      <c r="Q45" s="47" t="s">
        <v>250</v>
      </c>
      <c r="R45" s="47"/>
      <c r="S45" s="47"/>
      <c r="T45" s="47"/>
      <c r="U45" s="47"/>
      <c r="V45" s="47"/>
      <c r="W45" s="47">
        <f>HLOOKUP($W$43,$D$43:$M$77,3)</f>
        <v>1.2829999999999999</v>
      </c>
      <c r="X45" s="47"/>
      <c r="Y45" s="47"/>
      <c r="Z45" s="47"/>
      <c r="AA45" s="47"/>
      <c r="AB45" s="47"/>
      <c r="AC45" s="47"/>
      <c r="AD45" s="47"/>
      <c r="AE45" s="47"/>
      <c r="AF45" s="47"/>
      <c r="AG45" s="47"/>
      <c r="AH45" s="47"/>
      <c r="AI45" s="47"/>
      <c r="AJ45" s="47"/>
      <c r="AK45" s="27"/>
    </row>
    <row r="46" spans="1:59" ht="24" hidden="1" customHeight="1">
      <c r="A46" s="49"/>
      <c r="B46" s="50"/>
      <c r="C46" s="49"/>
      <c r="D46" s="47"/>
      <c r="E46" s="47"/>
      <c r="F46" s="47"/>
      <c r="G46" s="47"/>
      <c r="H46" s="47"/>
      <c r="I46" s="47"/>
      <c r="J46" s="47"/>
      <c r="K46" s="47"/>
      <c r="L46" s="47"/>
      <c r="M46" s="47"/>
      <c r="N46" s="47"/>
      <c r="O46" s="47"/>
      <c r="P46" s="47"/>
      <c r="Q46" s="47"/>
      <c r="R46" s="47"/>
      <c r="S46" s="47"/>
      <c r="T46" s="47"/>
      <c r="U46" s="47"/>
      <c r="V46" s="47"/>
      <c r="W46" s="47"/>
      <c r="X46" s="47"/>
      <c r="Y46" s="47"/>
      <c r="Z46" s="47"/>
      <c r="AA46" s="47"/>
      <c r="AB46" s="47"/>
      <c r="AC46" s="47"/>
      <c r="AD46" s="47"/>
      <c r="AE46" s="47"/>
      <c r="AF46" s="47"/>
      <c r="AG46" s="47"/>
      <c r="AH46" s="47"/>
      <c r="AI46" s="47"/>
      <c r="AJ46" s="47"/>
      <c r="AK46" s="27"/>
    </row>
    <row r="47" spans="1:59" ht="24" hidden="1" customHeight="1">
      <c r="A47" s="49"/>
      <c r="B47" s="50"/>
      <c r="C47" s="243" t="s">
        <v>181</v>
      </c>
      <c r="D47" s="47" t="str">
        <f>IF('DDR3 Config'!$G$1=1,'DDR3 Spec'!D9,IF('DDR3 Config'!$G$1=2,'DDR3 Spec'!O9,IF('DDR3 Config'!$G$1=3,'DDR3 Spec'!Z9,IF('DDR3 Config'!$G$1=4,'DDR3 Spec'!AK9,'DDR3 Spec'!AV9))))</f>
        <v xml:space="preserve"> na</v>
      </c>
      <c r="E47" s="47">
        <f>IF('DDR3 Config'!$G$1=1,'DDR3 Spec'!E9,IF('DDR3 Config'!$G$1=2,'DDR3 Spec'!P9,IF('DDR3 Config'!$G$1=3,'DDR3 Spec'!AA9,IF('DDR3 Config'!$G$1=4,'DDR3 Spec'!AL9,'DDR3 Spec'!AW9))))</f>
        <v>46</v>
      </c>
      <c r="F47" s="47" t="str">
        <f>IF('DDR3 Config'!$G$1=1,'DDR3 Spec'!F9,IF('DDR3 Config'!$G$1=2,'DDR3 Spec'!Q9,IF('DDR3 Config'!$G$1=3,'DDR3 Spec'!AB9,IF('DDR3 Config'!$G$1=4,'DDR3 Spec'!AM9,'DDR3 Spec'!AX9))))</f>
        <v xml:space="preserve"> na</v>
      </c>
      <c r="G47" s="47">
        <f>IF('DDR3 Config'!$G$1=1,'DDR3 Spec'!G9,IF('DDR3 Config'!$G$1=2,'DDR3 Spec'!R9,IF('DDR3 Config'!$G$1=3,'DDR3 Spec'!AC9,IF('DDR3 Config'!$G$1=4,'DDR3 Spec'!AN9,'DDR3 Spec'!AY9))))</f>
        <v>43</v>
      </c>
      <c r="H47" s="47" t="str">
        <f>IF('DDR3 Config'!$G$1=1,'DDR3 Spec'!H9,IF('DDR3 Config'!$G$1=2,'DDR3 Spec'!S9,IF('DDR3 Config'!$G$1=3,'DDR3 Spec'!AD9,IF('DDR3 Config'!$G$1=4,'DDR3 Spec'!AO9,'DDR3 Spec'!AZ9))))</f>
        <v xml:space="preserve"> na</v>
      </c>
      <c r="I47" s="47">
        <f>IF('DDR3 Config'!$G$1=1,'DDR3 Spec'!I9,IF('DDR3 Config'!$G$1=2,'DDR3 Spec'!T9,IF('DDR3 Config'!$G$1=3,'DDR3 Spec'!AE9,IF('DDR3 Config'!$G$1=4,'DDR3 Spec'!AP9,'DDR3 Spec'!BA9))))</f>
        <v>42</v>
      </c>
      <c r="J47" s="47">
        <f>IF('DDR3 Config'!$G$1=1,'DDR3 Spec'!J9,IF('DDR3 Config'!$G$1=2,'DDR3 Spec'!U9,IF('DDR3 Config'!$G$1=3,'DDR3 Spec'!AF9,IF('DDR3 Config'!$G$1=4,'DDR3 Spec'!AQ9,'DDR3 Spec'!BB9))))</f>
        <v>41</v>
      </c>
      <c r="K47" s="47">
        <f>IF('DDR3 Config'!$G$1=1,'DDR3 Spec'!K9,IF('DDR3 Config'!$G$1=2,'DDR3 Spec'!V9,IF('DDR3 Config'!$G$1=3,'DDR3 Spec'!AG9,IF('DDR3 Config'!$G$1=4,'DDR3 Spec'!AR9,'DDR3 Spec'!BC9))))</f>
        <v>39</v>
      </c>
      <c r="L47" s="47" t="str">
        <f>IF('DDR3 Config'!$G$1=1,'DDR3 Spec'!L9,IF('DDR3 Config'!$G$1=2,'DDR3 Spec'!W9,IF('DDR3 Config'!$G$1=3,'DDR3 Spec'!AH9,IF('DDR3 Config'!$G$1=4,'DDR3 Spec'!AS9,'DDR3 Spec'!BD9))))</f>
        <v>na</v>
      </c>
      <c r="M47" s="47" t="str">
        <f>IF('DDR3 Config'!$G$1=1,'DDR3 Spec'!M9,IF('DDR3 Config'!$G$1=2,'DDR3 Spec'!X9,IF('DDR3 Config'!$G$1=3,'DDR3 Spec'!AI9,IF('DDR3 Config'!$G$1=4,'DDR3 Spec'!AT9,'DDR3 Spec'!BE9))))</f>
        <v xml:space="preserve"> na</v>
      </c>
      <c r="N47" s="47"/>
      <c r="O47" s="47"/>
      <c r="P47" s="47"/>
      <c r="Q47" s="47"/>
      <c r="R47" s="47"/>
      <c r="S47" s="47"/>
      <c r="T47" s="47"/>
      <c r="U47" s="47"/>
      <c r="V47" s="47"/>
      <c r="W47" s="47">
        <f>HLOOKUP($W$43,$D$43:$M$77,5)</f>
        <v>42</v>
      </c>
      <c r="X47" s="47"/>
      <c r="Y47" s="47"/>
      <c r="Z47" s="47"/>
      <c r="AA47" s="47"/>
      <c r="AB47" s="47"/>
      <c r="AC47" s="47"/>
      <c r="AD47" s="47"/>
      <c r="AE47" s="47"/>
      <c r="AF47" s="47"/>
      <c r="AG47" s="47"/>
      <c r="AH47" s="47"/>
      <c r="AI47" s="47"/>
      <c r="AJ47" s="47"/>
      <c r="AK47" s="27"/>
    </row>
    <row r="48" spans="1:59" ht="24" hidden="1" customHeight="1">
      <c r="A48" s="49"/>
      <c r="B48" s="50"/>
      <c r="C48" s="243"/>
      <c r="D48" s="47" t="str">
        <f>IF('DDR3 Config'!$G$1=1,'DDR3 Spec'!D10,IF('DDR3 Config'!$G$1=2,'DDR3 Spec'!O10,IF('DDR3 Config'!$G$1=3,'DDR3 Spec'!Z10,IF('DDR3 Config'!$G$1=4,'DDR3 Spec'!AK10,'DDR3 Spec'!AV10))))</f>
        <v xml:space="preserve"> na</v>
      </c>
      <c r="E48" s="47">
        <f>IF('DDR3 Config'!$G$1=1,'DDR3 Spec'!E10,IF('DDR3 Config'!$G$1=2,'DDR3 Spec'!P10,IF('DDR3 Config'!$G$1=3,'DDR3 Spec'!AA10,IF('DDR3 Config'!$G$1=4,'DDR3 Spec'!AL10,'DDR3 Spec'!AW10))))</f>
        <v>55</v>
      </c>
      <c r="F48" s="47" t="str">
        <f>IF('DDR3 Config'!$G$1=1,'DDR3 Spec'!F10,IF('DDR3 Config'!$G$1=2,'DDR3 Spec'!Q10,IF('DDR3 Config'!$G$1=3,'DDR3 Spec'!AB10,IF('DDR3 Config'!$G$1=4,'DDR3 Spec'!AM10,'DDR3 Spec'!AX10))))</f>
        <v xml:space="preserve"> na</v>
      </c>
      <c r="G48" s="47">
        <f>IF('DDR3 Config'!$G$1=1,'DDR3 Spec'!G10,IF('DDR3 Config'!$G$1=2,'DDR3 Spec'!R10,IF('DDR3 Config'!$G$1=3,'DDR3 Spec'!AC10,IF('DDR3 Config'!$G$1=4,'DDR3 Spec'!AN10,'DDR3 Spec'!AY10))))</f>
        <v>51</v>
      </c>
      <c r="H48" s="47" t="str">
        <f>IF('DDR3 Config'!$G$1=1,'DDR3 Spec'!H10,IF('DDR3 Config'!$G$1=2,'DDR3 Spec'!S10,IF('DDR3 Config'!$G$1=3,'DDR3 Spec'!AD10,IF('DDR3 Config'!$G$1=4,'DDR3 Spec'!AO10,'DDR3 Spec'!AZ10))))</f>
        <v xml:space="preserve"> na</v>
      </c>
      <c r="I48" s="47">
        <f>IF('DDR3 Config'!$G$1=1,'DDR3 Spec'!I10,IF('DDR3 Config'!$G$1=2,'DDR3 Spec'!T10,IF('DDR3 Config'!$G$1=3,'DDR3 Spec'!AE10,IF('DDR3 Config'!$G$1=4,'DDR3 Spec'!AP10,'DDR3 Spec'!BA10))))</f>
        <v>49</v>
      </c>
      <c r="J48" s="47">
        <f>IF('DDR3 Config'!$G$1=1,'DDR3 Spec'!J10,IF('DDR3 Config'!$G$1=2,'DDR3 Spec'!U10,IF('DDR3 Config'!$G$1=3,'DDR3 Spec'!AF10,IF('DDR3 Config'!$G$1=4,'DDR3 Spec'!AQ10,'DDR3 Spec'!BB10))))</f>
        <v>48</v>
      </c>
      <c r="K48" s="47">
        <f>IF('DDR3 Config'!$G$1=1,'DDR3 Spec'!K10,IF('DDR3 Config'!$G$1=2,'DDR3 Spec'!V10,IF('DDR3 Config'!$G$1=3,'DDR3 Spec'!AG10,IF('DDR3 Config'!$G$1=4,'DDR3 Spec'!AR10,'DDR3 Spec'!BC10))))</f>
        <v>46</v>
      </c>
      <c r="L48" s="47" t="str">
        <f>IF('DDR3 Config'!$G$1=1,'DDR3 Spec'!L10,IF('DDR3 Config'!$G$1=2,'DDR3 Spec'!W10,IF('DDR3 Config'!$G$1=3,'DDR3 Spec'!AH10,IF('DDR3 Config'!$G$1=4,'DDR3 Spec'!AS10,'DDR3 Spec'!BD10))))</f>
        <v xml:space="preserve"> na</v>
      </c>
      <c r="M48" s="47" t="str">
        <f>IF('DDR3 Config'!$G$1=1,'DDR3 Spec'!M10,IF('DDR3 Config'!$G$1=2,'DDR3 Spec'!X10,IF('DDR3 Config'!$G$1=3,'DDR3 Spec'!AI10,IF('DDR3 Config'!$G$1=4,'DDR3 Spec'!AT10,'DDR3 Spec'!BE10))))</f>
        <v xml:space="preserve"> na</v>
      </c>
      <c r="N48" s="47"/>
      <c r="O48" s="47"/>
      <c r="P48" s="47"/>
      <c r="Q48" s="47"/>
      <c r="R48" s="47"/>
      <c r="S48" s="47"/>
      <c r="T48" s="47"/>
      <c r="U48" s="47"/>
      <c r="V48" s="47"/>
      <c r="W48" s="47">
        <f>HLOOKUP($W$43,$D$43:$M$77,6)</f>
        <v>49</v>
      </c>
      <c r="X48" s="47"/>
      <c r="Y48" s="47"/>
      <c r="Z48" s="47"/>
      <c r="AA48" s="47"/>
      <c r="AB48" s="47"/>
      <c r="AC48" s="47"/>
      <c r="AD48" s="47"/>
      <c r="AE48" s="47"/>
      <c r="AF48" s="47"/>
      <c r="AG48" s="47"/>
      <c r="AH48" s="47"/>
      <c r="AI48" s="47"/>
      <c r="AJ48" s="47"/>
      <c r="AK48" s="27"/>
    </row>
    <row r="49" spans="1:37" ht="24" hidden="1" customHeight="1">
      <c r="A49" s="49"/>
      <c r="B49" s="50"/>
      <c r="C49" s="244" t="s">
        <v>215</v>
      </c>
      <c r="D49" s="47" t="str">
        <f>IF('DDR3 Config'!$G$1=1,'DDR3 Spec'!D11,IF('DDR3 Config'!$G$1=2,'DDR3 Spec'!O11,IF('DDR3 Config'!$G$1=3,'DDR3 Spec'!Z11,IF('DDR3 Config'!$G$1=4,'DDR3 Spec'!AK11,'DDR3 Spec'!AV11))))</f>
        <v xml:space="preserve"> na</v>
      </c>
      <c r="E49" s="47">
        <f>IF('DDR3 Config'!$G$1=1,'DDR3 Spec'!E11,IF('DDR3 Config'!$G$1=2,'DDR3 Spec'!P11,IF('DDR3 Config'!$G$1=3,'DDR3 Spec'!AA11,IF('DDR3 Config'!$G$1=4,'DDR3 Spec'!AL11,'DDR3 Spec'!AW11))))</f>
        <v>12</v>
      </c>
      <c r="F49" s="47" t="str">
        <f>IF('DDR3 Config'!$G$1=1,'DDR3 Spec'!F11,IF('DDR3 Config'!$G$1=2,'DDR3 Spec'!Q11,IF('DDR3 Config'!$G$1=3,'DDR3 Spec'!AB11,IF('DDR3 Config'!$G$1=4,'DDR3 Spec'!AM11,'DDR3 Spec'!AX11))))</f>
        <v xml:space="preserve"> na</v>
      </c>
      <c r="G49" s="47">
        <f>IF('DDR3 Config'!$G$1=1,'DDR3 Spec'!G11,IF('DDR3 Config'!$G$1=2,'DDR3 Spec'!R11,IF('DDR3 Config'!$G$1=3,'DDR3 Spec'!AC11,IF('DDR3 Config'!$G$1=4,'DDR3 Spec'!AN11,'DDR3 Spec'!AY11))))</f>
        <v>12</v>
      </c>
      <c r="H49" s="47" t="str">
        <f>IF('DDR3 Config'!$G$1=1,'DDR3 Spec'!H11,IF('DDR3 Config'!$G$1=2,'DDR3 Spec'!S11,IF('DDR3 Config'!$G$1=3,'DDR3 Spec'!AD11,IF('DDR3 Config'!$G$1=4,'DDR3 Spec'!AO11,'DDR3 Spec'!AZ11))))</f>
        <v xml:space="preserve"> na</v>
      </c>
      <c r="I49" s="47">
        <f>IF('DDR3 Config'!$G$1=1,'DDR3 Spec'!I11,IF('DDR3 Config'!$G$1=2,'DDR3 Spec'!T11,IF('DDR3 Config'!$G$1=3,'DDR3 Spec'!AE11,IF('DDR3 Config'!$G$1=4,'DDR3 Spec'!AP11,'DDR3 Spec'!BA11))))</f>
        <v>12</v>
      </c>
      <c r="J49" s="47">
        <f>IF('DDR3 Config'!$G$1=1,'DDR3 Spec'!J11,IF('DDR3 Config'!$G$1=2,'DDR3 Spec'!U11,IF('DDR3 Config'!$G$1=3,'DDR3 Spec'!AF11,IF('DDR3 Config'!$G$1=4,'DDR3 Spec'!AQ11,'DDR3 Spec'!BB11))))</f>
        <v>12</v>
      </c>
      <c r="K49" s="47">
        <f>IF('DDR3 Config'!$G$1=1,'DDR3 Spec'!K11,IF('DDR3 Config'!$G$1=2,'DDR3 Spec'!V11,IF('DDR3 Config'!$G$1=3,'DDR3 Spec'!AG11,IF('DDR3 Config'!$G$1=4,'DDR3 Spec'!AR11,'DDR3 Spec'!BC11))))</f>
        <v>12</v>
      </c>
      <c r="L49" s="47" t="str">
        <f>IF('DDR3 Config'!$G$1=1,'DDR3 Spec'!L11,IF('DDR3 Config'!$G$1=2,'DDR3 Spec'!W11,IF('DDR3 Config'!$G$1=3,'DDR3 Spec'!AH11,IF('DDR3 Config'!$G$1=4,'DDR3 Spec'!AS11,'DDR3 Spec'!BD11))))</f>
        <v xml:space="preserve"> na</v>
      </c>
      <c r="M49" s="47" t="str">
        <f>IF('DDR3 Config'!$G$1=1,'DDR3 Spec'!M11,IF('DDR3 Config'!$G$1=2,'DDR3 Spec'!X11,IF('DDR3 Config'!$G$1=3,'DDR3 Spec'!AI11,IF('DDR3 Config'!$G$1=4,'DDR3 Spec'!AT11,'DDR3 Spec'!BE11))))</f>
        <v xml:space="preserve"> na</v>
      </c>
      <c r="N49" s="47"/>
      <c r="O49" s="47"/>
      <c r="P49" s="47"/>
      <c r="Q49" s="47"/>
      <c r="R49" s="47"/>
      <c r="S49" s="47"/>
      <c r="T49" s="47"/>
      <c r="U49" s="47"/>
      <c r="V49" s="47"/>
      <c r="W49" s="47">
        <f>HLOOKUP($W$43,$D$43:$M$77,7)</f>
        <v>12</v>
      </c>
      <c r="X49" s="47"/>
      <c r="Y49" s="47"/>
      <c r="Z49" s="47"/>
      <c r="AA49" s="47"/>
      <c r="AB49" s="47"/>
      <c r="AC49" s="47"/>
      <c r="AD49" s="47"/>
      <c r="AE49" s="47"/>
      <c r="AF49" s="47"/>
      <c r="AG49" s="47"/>
      <c r="AH49" s="47"/>
      <c r="AI49" s="47"/>
      <c r="AJ49" s="47"/>
      <c r="AK49" s="27"/>
    </row>
    <row r="50" spans="1:37" ht="24" hidden="1" customHeight="1">
      <c r="A50" s="49"/>
      <c r="B50" s="50"/>
      <c r="C50" s="245"/>
      <c r="D50" s="47" t="str">
        <f>IF('DDR3 Config'!$G$1=1,'DDR3 Spec'!D12,IF('DDR3 Config'!$G$1=2,'DDR3 Spec'!O12,IF('DDR3 Config'!$G$1=3,'DDR3 Spec'!Z12,IF('DDR3 Config'!$G$1=4,'DDR3 Spec'!AK12,'DDR3 Spec'!AV12))))</f>
        <v xml:space="preserve"> na</v>
      </c>
      <c r="E50" s="47">
        <f>IF('DDR3 Config'!$G$1=1,'DDR3 Spec'!E12,IF('DDR3 Config'!$G$1=2,'DDR3 Spec'!P12,IF('DDR3 Config'!$G$1=3,'DDR3 Spec'!AA12,IF('DDR3 Config'!$G$1=4,'DDR3 Spec'!AL12,'DDR3 Spec'!AW12))))</f>
        <v>12</v>
      </c>
      <c r="F50" s="47" t="str">
        <f>IF('DDR3 Config'!$G$1=1,'DDR3 Spec'!F12,IF('DDR3 Config'!$G$1=2,'DDR3 Spec'!Q12,IF('DDR3 Config'!$G$1=3,'DDR3 Spec'!AB12,IF('DDR3 Config'!$G$1=4,'DDR3 Spec'!AM12,'DDR3 Spec'!AX12))))</f>
        <v xml:space="preserve"> na</v>
      </c>
      <c r="G50" s="47">
        <f>IF('DDR3 Config'!$G$1=1,'DDR3 Spec'!G12,IF('DDR3 Config'!$G$1=2,'DDR3 Spec'!R12,IF('DDR3 Config'!$G$1=3,'DDR3 Spec'!AC12,IF('DDR3 Config'!$G$1=4,'DDR3 Spec'!AN12,'DDR3 Spec'!AY12))))</f>
        <v>12</v>
      </c>
      <c r="H50" s="47" t="str">
        <f>IF('DDR3 Config'!$G$1=1,'DDR3 Spec'!H12,IF('DDR3 Config'!$G$1=2,'DDR3 Spec'!S12,IF('DDR3 Config'!$G$1=3,'DDR3 Spec'!AD12,IF('DDR3 Config'!$G$1=4,'DDR3 Spec'!AO12,'DDR3 Spec'!AZ12))))</f>
        <v xml:space="preserve"> na</v>
      </c>
      <c r="I50" s="47">
        <f>IF('DDR3 Config'!$G$1=1,'DDR3 Spec'!I12,IF('DDR3 Config'!$G$1=2,'DDR3 Spec'!T12,IF('DDR3 Config'!$G$1=3,'DDR3 Spec'!AE12,IF('DDR3 Config'!$G$1=4,'DDR3 Spec'!AP12,'DDR3 Spec'!BA12))))</f>
        <v>12</v>
      </c>
      <c r="J50" s="47">
        <f>IF('DDR3 Config'!$G$1=1,'DDR3 Spec'!J12,IF('DDR3 Config'!$G$1=2,'DDR3 Spec'!U12,IF('DDR3 Config'!$G$1=3,'DDR3 Spec'!AF12,IF('DDR3 Config'!$G$1=4,'DDR3 Spec'!AQ12,'DDR3 Spec'!BB12))))</f>
        <v>12</v>
      </c>
      <c r="K50" s="47">
        <f>IF('DDR3 Config'!$G$1=1,'DDR3 Spec'!K12,IF('DDR3 Config'!$G$1=2,'DDR3 Spec'!V12,IF('DDR3 Config'!$G$1=3,'DDR3 Spec'!AG12,IF('DDR3 Config'!$G$1=4,'DDR3 Spec'!AR12,'DDR3 Spec'!BC12))))</f>
        <v>12</v>
      </c>
      <c r="L50" s="47" t="str">
        <f>IF('DDR3 Config'!$G$1=1,'DDR3 Spec'!L12,IF('DDR3 Config'!$G$1=2,'DDR3 Spec'!W12,IF('DDR3 Config'!$G$1=3,'DDR3 Spec'!AH12,IF('DDR3 Config'!$G$1=4,'DDR3 Spec'!AS12,'DDR3 Spec'!BD12))))</f>
        <v xml:space="preserve"> na</v>
      </c>
      <c r="M50" s="47" t="str">
        <f>IF('DDR3 Config'!$G$1=1,'DDR3 Spec'!M12,IF('DDR3 Config'!$G$1=2,'DDR3 Spec'!X12,IF('DDR3 Config'!$G$1=3,'DDR3 Spec'!AI12,IF('DDR3 Config'!$G$1=4,'DDR3 Spec'!AT12,'DDR3 Spec'!BE12))))</f>
        <v xml:space="preserve"> na</v>
      </c>
      <c r="N50" s="47"/>
      <c r="O50" s="47"/>
      <c r="P50" s="47"/>
      <c r="Q50" s="47"/>
      <c r="R50" s="47"/>
      <c r="S50" s="47"/>
      <c r="T50" s="47"/>
      <c r="U50" s="47"/>
      <c r="V50" s="47"/>
      <c r="W50" s="47">
        <f>HLOOKUP($W$43,$D$43:$M$77,8)</f>
        <v>12</v>
      </c>
      <c r="X50" s="47"/>
      <c r="Y50" s="47"/>
      <c r="Z50" s="47"/>
      <c r="AA50" s="47"/>
      <c r="AB50" s="47"/>
      <c r="AC50" s="47"/>
      <c r="AD50" s="47"/>
      <c r="AE50" s="47"/>
      <c r="AF50" s="47"/>
      <c r="AG50" s="47"/>
      <c r="AH50" s="47"/>
      <c r="AI50" s="47"/>
      <c r="AJ50" s="47"/>
      <c r="AK50" s="27"/>
    </row>
    <row r="51" spans="1:37" ht="24" hidden="1" customHeight="1">
      <c r="A51" s="49"/>
      <c r="B51" s="50"/>
      <c r="C51" s="250" t="s">
        <v>216</v>
      </c>
      <c r="D51" s="47" t="str">
        <f>IF('DDR3 Config'!$G$1=1,'DDR3 Spec'!D13,IF('DDR3 Config'!$G$1=2,'DDR3 Spec'!O13,IF('DDR3 Config'!$G$1=3,'DDR3 Spec'!Z13,IF('DDR3 Config'!$G$1=4,'DDR3 Spec'!AK13,'DDR3 Spec'!AV13))))</f>
        <v xml:space="preserve"> na</v>
      </c>
      <c r="E51" s="47">
        <f>IF('DDR3 Config'!$G$1=1,'DDR3 Spec'!E13,IF('DDR3 Config'!$G$1=2,'DDR3 Spec'!P13,IF('DDR3 Config'!$G$1=3,'DDR3 Spec'!AA13,IF('DDR3 Config'!$G$1=4,'DDR3 Spec'!AL13,'DDR3 Spec'!AW13))))</f>
        <v>15</v>
      </c>
      <c r="F51" s="47" t="str">
        <f>IF('DDR3 Config'!$G$1=1,'DDR3 Spec'!F13,IF('DDR3 Config'!$G$1=2,'DDR3 Spec'!Q13,IF('DDR3 Config'!$G$1=3,'DDR3 Spec'!AB13,IF('DDR3 Config'!$G$1=4,'DDR3 Spec'!AM13,'DDR3 Spec'!AX13))))</f>
        <v xml:space="preserve"> na</v>
      </c>
      <c r="G51" s="47">
        <f>IF('DDR3 Config'!$G$1=1,'DDR3 Spec'!G13,IF('DDR3 Config'!$G$1=2,'DDR3 Spec'!R13,IF('DDR3 Config'!$G$1=3,'DDR3 Spec'!AC13,IF('DDR3 Config'!$G$1=4,'DDR3 Spec'!AN13,'DDR3 Spec'!AY13))))</f>
        <v>15</v>
      </c>
      <c r="H51" s="47" t="str">
        <f>IF('DDR3 Config'!$G$1=1,'DDR3 Spec'!H13,IF('DDR3 Config'!$G$1=2,'DDR3 Spec'!S13,IF('DDR3 Config'!$G$1=3,'DDR3 Spec'!AD13,IF('DDR3 Config'!$G$1=4,'DDR3 Spec'!AO13,'DDR3 Spec'!AZ13))))</f>
        <v xml:space="preserve"> na</v>
      </c>
      <c r="I51" s="47">
        <f>IF('DDR3 Config'!$G$1=1,'DDR3 Spec'!I13,IF('DDR3 Config'!$G$1=2,'DDR3 Spec'!T13,IF('DDR3 Config'!$G$1=3,'DDR3 Spec'!AE13,IF('DDR3 Config'!$G$1=4,'DDR3 Spec'!AP13,'DDR3 Spec'!BA13))))</f>
        <v>15</v>
      </c>
      <c r="J51" s="47">
        <f>IF('DDR3 Config'!$G$1=1,'DDR3 Spec'!J13,IF('DDR3 Config'!$G$1=2,'DDR3 Spec'!U13,IF('DDR3 Config'!$G$1=3,'DDR3 Spec'!AF13,IF('DDR3 Config'!$G$1=4,'DDR3 Spec'!AQ13,'DDR3 Spec'!BB13))))</f>
        <v>15</v>
      </c>
      <c r="K51" s="47">
        <f>IF('DDR3 Config'!$G$1=1,'DDR3 Spec'!K13,IF('DDR3 Config'!$G$1=2,'DDR3 Spec'!V13,IF('DDR3 Config'!$G$1=3,'DDR3 Spec'!AG13,IF('DDR3 Config'!$G$1=4,'DDR3 Spec'!AR13,'DDR3 Spec'!BC13))))</f>
        <v>15</v>
      </c>
      <c r="L51" s="47" t="str">
        <f>IF('DDR3 Config'!$G$1=1,'DDR3 Spec'!L13,IF('DDR3 Config'!$G$1=2,'DDR3 Spec'!W13,IF('DDR3 Config'!$G$1=3,'DDR3 Spec'!AH13,IF('DDR3 Config'!$G$1=4,'DDR3 Spec'!AS13,'DDR3 Spec'!BD13))))</f>
        <v xml:space="preserve"> na</v>
      </c>
      <c r="M51" s="47" t="str">
        <f>IF('DDR3 Config'!$G$1=1,'DDR3 Spec'!M13,IF('DDR3 Config'!$G$1=2,'DDR3 Spec'!X13,IF('DDR3 Config'!$G$1=3,'DDR3 Spec'!AI13,IF('DDR3 Config'!$G$1=4,'DDR3 Spec'!AT13,'DDR3 Spec'!BE13))))</f>
        <v xml:space="preserve"> na</v>
      </c>
      <c r="N51" s="47"/>
      <c r="O51" s="47"/>
      <c r="P51" s="47"/>
      <c r="Q51" s="47"/>
      <c r="R51" s="47"/>
      <c r="S51" s="47"/>
      <c r="T51" s="47"/>
      <c r="U51" s="47"/>
      <c r="V51" s="47"/>
      <c r="W51" s="47">
        <f>HLOOKUP($W$43,$D$43:$M$77,9)</f>
        <v>15</v>
      </c>
      <c r="X51" s="47"/>
      <c r="Y51" s="47"/>
      <c r="Z51" s="47"/>
      <c r="AA51" s="47"/>
      <c r="AB51" s="47"/>
      <c r="AC51" s="47"/>
      <c r="AD51" s="47"/>
      <c r="AE51" s="47"/>
      <c r="AF51" s="47"/>
      <c r="AG51" s="47"/>
      <c r="AH51" s="47"/>
      <c r="AI51" s="47"/>
      <c r="AJ51" s="47"/>
      <c r="AK51" s="27"/>
    </row>
    <row r="52" spans="1:37" ht="24" hidden="1" customHeight="1">
      <c r="A52" s="49"/>
      <c r="B52" s="50"/>
      <c r="C52" s="251"/>
      <c r="D52" s="47" t="str">
        <f>IF('DDR3 Config'!$G$1=1,'DDR3 Spec'!D14,IF('DDR3 Config'!$G$1=2,'DDR3 Spec'!O14,IF('DDR3 Config'!$G$1=3,'DDR3 Spec'!Z14,IF('DDR3 Config'!$G$1=4,'DDR3 Spec'!AK14,'DDR3 Spec'!AV14))))</f>
        <v xml:space="preserve"> na</v>
      </c>
      <c r="E52" s="47">
        <f>IF('DDR3 Config'!$G$1=1,'DDR3 Spec'!E14,IF('DDR3 Config'!$G$1=2,'DDR3 Spec'!P14,IF('DDR3 Config'!$G$1=3,'DDR3 Spec'!AA14,IF('DDR3 Config'!$G$1=4,'DDR3 Spec'!AL14,'DDR3 Spec'!AW14))))</f>
        <v>15</v>
      </c>
      <c r="F52" s="47" t="str">
        <f>IF('DDR3 Config'!$G$1=1,'DDR3 Spec'!F14,IF('DDR3 Config'!$G$1=2,'DDR3 Spec'!Q14,IF('DDR3 Config'!$G$1=3,'DDR3 Spec'!AB14,IF('DDR3 Config'!$G$1=4,'DDR3 Spec'!AM14,'DDR3 Spec'!AX14))))</f>
        <v xml:space="preserve"> na</v>
      </c>
      <c r="G52" s="47">
        <f>IF('DDR3 Config'!$G$1=1,'DDR3 Spec'!G14,IF('DDR3 Config'!$G$1=2,'DDR3 Spec'!R14,IF('DDR3 Config'!$G$1=3,'DDR3 Spec'!AC14,IF('DDR3 Config'!$G$1=4,'DDR3 Spec'!AN14,'DDR3 Spec'!AY14))))</f>
        <v>15</v>
      </c>
      <c r="H52" s="47" t="str">
        <f>IF('DDR3 Config'!$G$1=1,'DDR3 Spec'!H14,IF('DDR3 Config'!$G$1=2,'DDR3 Spec'!S14,IF('DDR3 Config'!$G$1=3,'DDR3 Spec'!AD14,IF('DDR3 Config'!$G$1=4,'DDR3 Spec'!AO14,'DDR3 Spec'!AZ14))))</f>
        <v xml:space="preserve"> na</v>
      </c>
      <c r="I52" s="47">
        <f>IF('DDR3 Config'!$G$1=1,'DDR3 Spec'!I14,IF('DDR3 Config'!$G$1=2,'DDR3 Spec'!T14,IF('DDR3 Config'!$G$1=3,'DDR3 Spec'!AE14,IF('DDR3 Config'!$G$1=4,'DDR3 Spec'!AP14,'DDR3 Spec'!BA14))))</f>
        <v>15</v>
      </c>
      <c r="J52" s="47">
        <f>IF('DDR3 Config'!$G$1=1,'DDR3 Spec'!J14,IF('DDR3 Config'!$G$1=2,'DDR3 Spec'!U14,IF('DDR3 Config'!$G$1=3,'DDR3 Spec'!AF14,IF('DDR3 Config'!$G$1=4,'DDR3 Spec'!AQ14,'DDR3 Spec'!BB14))))</f>
        <v>15</v>
      </c>
      <c r="K52" s="47">
        <f>IF('DDR3 Config'!$G$1=1,'DDR3 Spec'!K14,IF('DDR3 Config'!$G$1=2,'DDR3 Spec'!V14,IF('DDR3 Config'!$G$1=3,'DDR3 Spec'!AG14,IF('DDR3 Config'!$G$1=4,'DDR3 Spec'!AR14,'DDR3 Spec'!BC14))))</f>
        <v>15</v>
      </c>
      <c r="L52" s="47" t="str">
        <f>IF('DDR3 Config'!$G$1=1,'DDR3 Spec'!L14,IF('DDR3 Config'!$G$1=2,'DDR3 Spec'!W14,IF('DDR3 Config'!$G$1=3,'DDR3 Spec'!AH14,IF('DDR3 Config'!$G$1=4,'DDR3 Spec'!AS14,'DDR3 Spec'!BD14))))</f>
        <v xml:space="preserve"> na</v>
      </c>
      <c r="M52" s="47" t="str">
        <f>IF('DDR3 Config'!$G$1=1,'DDR3 Spec'!M14,IF('DDR3 Config'!$G$1=2,'DDR3 Spec'!X14,IF('DDR3 Config'!$G$1=3,'DDR3 Spec'!AI14,IF('DDR3 Config'!$G$1=4,'DDR3 Spec'!AT14,'DDR3 Spec'!BE14))))</f>
        <v xml:space="preserve"> na</v>
      </c>
      <c r="N52" s="47"/>
      <c r="O52" s="47"/>
      <c r="P52" s="47"/>
      <c r="Q52" s="47"/>
      <c r="R52" s="47"/>
      <c r="S52" s="47"/>
      <c r="T52" s="47"/>
      <c r="U52" s="47"/>
      <c r="V52" s="47"/>
      <c r="W52" s="47">
        <f>HLOOKUP($W$43,$D$43:$M$77,10)</f>
        <v>15</v>
      </c>
      <c r="X52" s="47"/>
      <c r="Y52" s="47"/>
      <c r="Z52" s="47"/>
      <c r="AA52" s="47"/>
      <c r="AB52" s="47"/>
      <c r="AC52" s="47"/>
      <c r="AD52" s="47"/>
      <c r="AE52" s="47"/>
      <c r="AF52" s="47"/>
      <c r="AG52" s="47"/>
      <c r="AH52" s="47"/>
      <c r="AI52" s="47"/>
      <c r="AJ52" s="47"/>
      <c r="AK52" s="27"/>
    </row>
    <row r="53" spans="1:37" ht="24" hidden="1" customHeight="1">
      <c r="A53" s="49"/>
      <c r="B53" s="50"/>
      <c r="C53" s="250" t="s">
        <v>182</v>
      </c>
      <c r="D53" s="47" t="str">
        <f>IF('DDR3 Config'!$G$1=1,'DDR3 Spec'!D15,IF('DDR3 Config'!$G$1=2,'DDR3 Spec'!O15,IF('DDR3 Config'!$G$1=3,'DDR3 Spec'!Z15,IF('DDR3 Config'!$G$1=4,'DDR3 Spec'!AK15,'DDR3 Spec'!AV15))))</f>
        <v xml:space="preserve"> na</v>
      </c>
      <c r="E53" s="47">
        <f>IF('DDR3 Config'!$G$1=1,'DDR3 Spec'!E15,IF('DDR3 Config'!$G$1=2,'DDR3 Spec'!P15,IF('DDR3 Config'!$G$1=3,'DDR3 Spec'!AA15,IF('DDR3 Config'!$G$1=4,'DDR3 Spec'!AL15,'DDR3 Spec'!AW15))))</f>
        <v>23</v>
      </c>
      <c r="F53" s="47" t="str">
        <f>IF('DDR3 Config'!$G$1=1,'DDR3 Spec'!F15,IF('DDR3 Config'!$G$1=2,'DDR3 Spec'!Q15,IF('DDR3 Config'!$G$1=3,'DDR3 Spec'!AB15,IF('DDR3 Config'!$G$1=4,'DDR3 Spec'!AM15,'DDR3 Spec'!AX15))))</f>
        <v xml:space="preserve"> na</v>
      </c>
      <c r="G53" s="47">
        <f>IF('DDR3 Config'!$G$1=1,'DDR3 Spec'!G15,IF('DDR3 Config'!$G$1=2,'DDR3 Spec'!R15,IF('DDR3 Config'!$G$1=3,'DDR3 Spec'!AC15,IF('DDR3 Config'!$G$1=4,'DDR3 Spec'!AN15,'DDR3 Spec'!AY15))))</f>
        <v>23</v>
      </c>
      <c r="H53" s="47" t="str">
        <f>IF('DDR3 Config'!$G$1=1,'DDR3 Spec'!H15,IF('DDR3 Config'!$G$1=2,'DDR3 Spec'!S15,IF('DDR3 Config'!$G$1=3,'DDR3 Spec'!AD15,IF('DDR3 Config'!$G$1=4,'DDR3 Spec'!AO15,'DDR3 Spec'!AZ15))))</f>
        <v xml:space="preserve"> na</v>
      </c>
      <c r="I53" s="47">
        <f>IF('DDR3 Config'!$G$1=1,'DDR3 Spec'!I15,IF('DDR3 Config'!$G$1=2,'DDR3 Spec'!T15,IF('DDR3 Config'!$G$1=3,'DDR3 Spec'!AE15,IF('DDR3 Config'!$G$1=4,'DDR3 Spec'!AP15,'DDR3 Spec'!BA15))))</f>
        <v>23</v>
      </c>
      <c r="J53" s="47">
        <f>IF('DDR3 Config'!$G$1=1,'DDR3 Spec'!J15,IF('DDR3 Config'!$G$1=2,'DDR3 Spec'!U15,IF('DDR3 Config'!$G$1=3,'DDR3 Spec'!AF15,IF('DDR3 Config'!$G$1=4,'DDR3 Spec'!AQ15,'DDR3 Spec'!BB15))))</f>
        <v>23</v>
      </c>
      <c r="K53" s="47">
        <f>IF('DDR3 Config'!$G$1=1,'DDR3 Spec'!K15,IF('DDR3 Config'!$G$1=2,'DDR3 Spec'!V15,IF('DDR3 Config'!$G$1=3,'DDR3 Spec'!AG15,IF('DDR3 Config'!$G$1=4,'DDR3 Spec'!AR15,'DDR3 Spec'!BC15))))</f>
        <v>23</v>
      </c>
      <c r="L53" s="47" t="str">
        <f>IF('DDR3 Config'!$G$1=1,'DDR3 Spec'!L15,IF('DDR3 Config'!$G$1=2,'DDR3 Spec'!W15,IF('DDR3 Config'!$G$1=3,'DDR3 Spec'!AH15,IF('DDR3 Config'!$G$1=4,'DDR3 Spec'!AS15,'DDR3 Spec'!BD15))))</f>
        <v xml:space="preserve"> na</v>
      </c>
      <c r="M53" s="47" t="str">
        <f>IF('DDR3 Config'!$G$1=1,'DDR3 Spec'!M15,IF('DDR3 Config'!$G$1=2,'DDR3 Spec'!X15,IF('DDR3 Config'!$G$1=3,'DDR3 Spec'!AI15,IF('DDR3 Config'!$G$1=4,'DDR3 Spec'!AT15,'DDR3 Spec'!BE15))))</f>
        <v xml:space="preserve"> na</v>
      </c>
      <c r="N53" s="47"/>
      <c r="O53" s="47"/>
      <c r="P53" s="47"/>
      <c r="Q53" s="47"/>
      <c r="R53" s="47"/>
      <c r="S53" s="47"/>
      <c r="T53" s="47"/>
      <c r="U53" s="47"/>
      <c r="V53" s="47"/>
      <c r="W53" s="47">
        <f>HLOOKUP($W$43,$D$43:$M$77,11)</f>
        <v>23</v>
      </c>
      <c r="X53" s="47"/>
      <c r="Y53" s="47"/>
      <c r="Z53" s="47"/>
      <c r="AA53" s="47"/>
      <c r="AB53" s="47"/>
      <c r="AC53" s="47"/>
      <c r="AD53" s="47"/>
      <c r="AE53" s="47"/>
      <c r="AF53" s="47"/>
      <c r="AG53" s="47"/>
      <c r="AH53" s="47"/>
      <c r="AI53" s="47"/>
      <c r="AJ53" s="47"/>
      <c r="AK53" s="27"/>
    </row>
    <row r="54" spans="1:37" ht="24" hidden="1" customHeight="1">
      <c r="A54" s="49"/>
      <c r="B54" s="50"/>
      <c r="C54" s="251"/>
      <c r="D54" s="47" t="str">
        <f>IF('DDR3 Config'!$G$1=1,'DDR3 Spec'!D16,IF('DDR3 Config'!$G$1=2,'DDR3 Spec'!O16,IF('DDR3 Config'!$G$1=3,'DDR3 Spec'!Z16,IF('DDR3 Config'!$G$1=4,'DDR3 Spec'!AK16,'DDR3 Spec'!AV16))))</f>
        <v xml:space="preserve"> na</v>
      </c>
      <c r="E54" s="47">
        <f>IF('DDR3 Config'!$G$1=1,'DDR3 Spec'!E16,IF('DDR3 Config'!$G$1=2,'DDR3 Spec'!P16,IF('DDR3 Config'!$G$1=3,'DDR3 Spec'!AA16,IF('DDR3 Config'!$G$1=4,'DDR3 Spec'!AL16,'DDR3 Spec'!AW16))))</f>
        <v>23</v>
      </c>
      <c r="F54" s="47" t="str">
        <f>IF('DDR3 Config'!$G$1=1,'DDR3 Spec'!F16,IF('DDR3 Config'!$G$1=2,'DDR3 Spec'!Q16,IF('DDR3 Config'!$G$1=3,'DDR3 Spec'!AB16,IF('DDR3 Config'!$G$1=4,'DDR3 Spec'!AM16,'DDR3 Spec'!AX16))))</f>
        <v xml:space="preserve"> na</v>
      </c>
      <c r="G54" s="47">
        <f>IF('DDR3 Config'!$G$1=1,'DDR3 Spec'!G16,IF('DDR3 Config'!$G$1=2,'DDR3 Spec'!R16,IF('DDR3 Config'!$G$1=3,'DDR3 Spec'!AC16,IF('DDR3 Config'!$G$1=4,'DDR3 Spec'!AN16,'DDR3 Spec'!AY16))))</f>
        <v>23</v>
      </c>
      <c r="H54" s="47" t="str">
        <f>IF('DDR3 Config'!$G$1=1,'DDR3 Spec'!H16,IF('DDR3 Config'!$G$1=2,'DDR3 Spec'!S16,IF('DDR3 Config'!$G$1=3,'DDR3 Spec'!AD16,IF('DDR3 Config'!$G$1=4,'DDR3 Spec'!AO16,'DDR3 Spec'!AZ16))))</f>
        <v xml:space="preserve"> na</v>
      </c>
      <c r="I54" s="47">
        <f>IF('DDR3 Config'!$G$1=1,'DDR3 Spec'!I16,IF('DDR3 Config'!$G$1=2,'DDR3 Spec'!T16,IF('DDR3 Config'!$G$1=3,'DDR3 Spec'!AE16,IF('DDR3 Config'!$G$1=4,'DDR3 Spec'!AP16,'DDR3 Spec'!BA16))))</f>
        <v>23</v>
      </c>
      <c r="J54" s="47">
        <f>IF('DDR3 Config'!$G$1=1,'DDR3 Spec'!J16,IF('DDR3 Config'!$G$1=2,'DDR3 Spec'!U16,IF('DDR3 Config'!$G$1=3,'DDR3 Spec'!AF16,IF('DDR3 Config'!$G$1=4,'DDR3 Spec'!AQ16,'DDR3 Spec'!BB16))))</f>
        <v>23</v>
      </c>
      <c r="K54" s="47">
        <f>IF('DDR3 Config'!$G$1=1,'DDR3 Spec'!K16,IF('DDR3 Config'!$G$1=2,'DDR3 Spec'!V16,IF('DDR3 Config'!$G$1=3,'DDR3 Spec'!AG16,IF('DDR3 Config'!$G$1=4,'DDR3 Spec'!AR16,'DDR3 Spec'!BC16))))</f>
        <v>23</v>
      </c>
      <c r="L54" s="47" t="str">
        <f>IF('DDR3 Config'!$G$1=1,'DDR3 Spec'!L16,IF('DDR3 Config'!$G$1=2,'DDR3 Spec'!W16,IF('DDR3 Config'!$G$1=3,'DDR3 Spec'!AH16,IF('DDR3 Config'!$G$1=4,'DDR3 Spec'!AS16,'DDR3 Spec'!BD16))))</f>
        <v xml:space="preserve"> na</v>
      </c>
      <c r="M54" s="47" t="str">
        <f>IF('DDR3 Config'!$G$1=1,'DDR3 Spec'!M16,IF('DDR3 Config'!$G$1=2,'DDR3 Spec'!X16,IF('DDR3 Config'!$G$1=3,'DDR3 Spec'!AI16,IF('DDR3 Config'!$G$1=4,'DDR3 Spec'!AT16,'DDR3 Spec'!BE16))))</f>
        <v xml:space="preserve"> na</v>
      </c>
      <c r="N54" s="47"/>
      <c r="O54" s="47"/>
      <c r="P54" s="47"/>
      <c r="Q54" s="47"/>
      <c r="R54" s="47"/>
      <c r="S54" s="47"/>
      <c r="T54" s="47"/>
      <c r="U54" s="47"/>
      <c r="V54" s="47"/>
      <c r="W54" s="47">
        <f>HLOOKUP($W$43,$D$43:$M$77,12)</f>
        <v>23</v>
      </c>
      <c r="X54" s="47"/>
      <c r="Y54" s="47"/>
      <c r="Z54" s="47"/>
      <c r="AA54" s="47"/>
      <c r="AB54" s="47"/>
      <c r="AC54" s="47"/>
      <c r="AD54" s="47"/>
      <c r="AE54" s="47"/>
      <c r="AF54" s="47"/>
      <c r="AG54" s="47"/>
      <c r="AH54" s="47"/>
      <c r="AI54" s="47"/>
      <c r="AJ54" s="47"/>
      <c r="AK54" s="27"/>
    </row>
    <row r="55" spans="1:37" ht="24" hidden="1" customHeight="1">
      <c r="A55" s="49"/>
      <c r="B55" s="50"/>
      <c r="C55" s="243" t="s">
        <v>183</v>
      </c>
      <c r="D55" s="47" t="str">
        <f>IF('DDR3 Config'!$G$1=1,'DDR3 Spec'!D17,IF('DDR3 Config'!$G$1=2,'DDR3 Spec'!O17,IF('DDR3 Config'!$G$1=3,'DDR3 Spec'!Z17,IF('DDR3 Config'!$G$1=4,'DDR3 Spec'!AK17,'DDR3 Spec'!AV17))))</f>
        <v xml:space="preserve"> na</v>
      </c>
      <c r="E55" s="47">
        <f>IF('DDR3 Config'!$G$1=1,'DDR3 Spec'!E17,IF('DDR3 Config'!$G$1=2,'DDR3 Spec'!P17,IF('DDR3 Config'!$G$1=3,'DDR3 Spec'!AA17,IF('DDR3 Config'!$G$1=4,'DDR3 Spec'!AL17,'DDR3 Spec'!AW17))))</f>
        <v>22</v>
      </c>
      <c r="F55" s="47" t="str">
        <f>IF('DDR3 Config'!$G$1=1,'DDR3 Spec'!F17,IF('DDR3 Config'!$G$1=2,'DDR3 Spec'!Q17,IF('DDR3 Config'!$G$1=3,'DDR3 Spec'!AB17,IF('DDR3 Config'!$G$1=4,'DDR3 Spec'!AM17,'DDR3 Spec'!AX17))))</f>
        <v xml:space="preserve"> na</v>
      </c>
      <c r="G55" s="47">
        <f>IF('DDR3 Config'!$G$1=1,'DDR3 Spec'!G17,IF('DDR3 Config'!$G$1=2,'DDR3 Spec'!R17,IF('DDR3 Config'!$G$1=3,'DDR3 Spec'!AC17,IF('DDR3 Config'!$G$1=4,'DDR3 Spec'!AN17,'DDR3 Spec'!AY17))))</f>
        <v>22</v>
      </c>
      <c r="H55" s="47" t="str">
        <f>IF('DDR3 Config'!$G$1=1,'DDR3 Spec'!H17,IF('DDR3 Config'!$G$1=2,'DDR3 Spec'!S17,IF('DDR3 Config'!$G$1=3,'DDR3 Spec'!AD17,IF('DDR3 Config'!$G$1=4,'DDR3 Spec'!AO17,'DDR3 Spec'!AZ17))))</f>
        <v xml:space="preserve"> na</v>
      </c>
      <c r="I55" s="47">
        <f>IF('DDR3 Config'!$G$1=1,'DDR3 Spec'!I17,IF('DDR3 Config'!$G$1=2,'DDR3 Spec'!T17,IF('DDR3 Config'!$G$1=3,'DDR3 Spec'!AE17,IF('DDR3 Config'!$G$1=4,'DDR3 Spec'!AP17,'DDR3 Spec'!BA17))))</f>
        <v>22</v>
      </c>
      <c r="J55" s="47">
        <f>IF('DDR3 Config'!$G$1=1,'DDR3 Spec'!J17,IF('DDR3 Config'!$G$1=2,'DDR3 Spec'!U17,IF('DDR3 Config'!$G$1=3,'DDR3 Spec'!AF17,IF('DDR3 Config'!$G$1=4,'DDR3 Spec'!AQ17,'DDR3 Spec'!BB17))))</f>
        <v>22</v>
      </c>
      <c r="K55" s="47">
        <f>IF('DDR3 Config'!$G$1=1,'DDR3 Spec'!K17,IF('DDR3 Config'!$G$1=2,'DDR3 Spec'!V17,IF('DDR3 Config'!$G$1=3,'DDR3 Spec'!AG17,IF('DDR3 Config'!$G$1=4,'DDR3 Spec'!AR17,'DDR3 Spec'!BC17))))</f>
        <v>22</v>
      </c>
      <c r="L55" s="47" t="str">
        <f>IF('DDR3 Config'!$G$1=1,'DDR3 Spec'!L17,IF('DDR3 Config'!$G$1=2,'DDR3 Spec'!W17,IF('DDR3 Config'!$G$1=3,'DDR3 Spec'!AH17,IF('DDR3 Config'!$G$1=4,'DDR3 Spec'!AS17,'DDR3 Spec'!BD17))))</f>
        <v xml:space="preserve"> na</v>
      </c>
      <c r="M55" s="47" t="str">
        <f>IF('DDR3 Config'!$G$1=1,'DDR3 Spec'!M17,IF('DDR3 Config'!$G$1=2,'DDR3 Spec'!X17,IF('DDR3 Config'!$G$1=3,'DDR3 Spec'!AI17,IF('DDR3 Config'!$G$1=4,'DDR3 Spec'!AT17,'DDR3 Spec'!BE17))))</f>
        <v xml:space="preserve"> na</v>
      </c>
      <c r="N55" s="47"/>
      <c r="O55" s="47"/>
      <c r="P55" s="47"/>
      <c r="Q55" s="47"/>
      <c r="R55" s="47"/>
      <c r="S55" s="47"/>
      <c r="T55" s="47"/>
      <c r="U55" s="47"/>
      <c r="V55" s="47"/>
      <c r="W55" s="47">
        <f>HLOOKUP($W$43,$D$43:$M$77,13)</f>
        <v>22</v>
      </c>
      <c r="X55" s="47"/>
      <c r="Y55" s="47"/>
      <c r="Z55" s="47"/>
      <c r="AA55" s="47"/>
      <c r="AB55" s="47"/>
      <c r="AC55" s="47"/>
      <c r="AD55" s="47"/>
      <c r="AE55" s="47"/>
      <c r="AF55" s="47"/>
      <c r="AG55" s="47"/>
      <c r="AH55" s="47"/>
      <c r="AI55" s="47"/>
      <c r="AJ55" s="47"/>
      <c r="AK55" s="27"/>
    </row>
    <row r="56" spans="1:37" ht="24" hidden="1" customHeight="1">
      <c r="A56" s="49"/>
      <c r="B56" s="50"/>
      <c r="C56" s="243"/>
      <c r="D56" s="47" t="str">
        <f>IF('DDR3 Config'!$G$1=1,'DDR3 Spec'!D18,IF('DDR3 Config'!$G$1=2,'DDR3 Spec'!O18,IF('DDR3 Config'!$G$1=3,'DDR3 Spec'!Z18,IF('DDR3 Config'!$G$1=4,'DDR3 Spec'!AK18,'DDR3 Spec'!AV18))))</f>
        <v xml:space="preserve"> na</v>
      </c>
      <c r="E56" s="47">
        <f>IF('DDR3 Config'!$G$1=1,'DDR3 Spec'!E18,IF('DDR3 Config'!$G$1=2,'DDR3 Spec'!P18,IF('DDR3 Config'!$G$1=3,'DDR3 Spec'!AA18,IF('DDR3 Config'!$G$1=4,'DDR3 Spec'!AL18,'DDR3 Spec'!AW18))))</f>
        <v>22</v>
      </c>
      <c r="F56" s="47" t="str">
        <f>IF('DDR3 Config'!$G$1=1,'DDR3 Spec'!F18,IF('DDR3 Config'!$G$1=2,'DDR3 Spec'!Q18,IF('DDR3 Config'!$G$1=3,'DDR3 Spec'!AB18,IF('DDR3 Config'!$G$1=4,'DDR3 Spec'!AM18,'DDR3 Spec'!AX18))))</f>
        <v xml:space="preserve"> na</v>
      </c>
      <c r="G56" s="47">
        <f>IF('DDR3 Config'!$G$1=1,'DDR3 Spec'!G18,IF('DDR3 Config'!$G$1=2,'DDR3 Spec'!R18,IF('DDR3 Config'!$G$1=3,'DDR3 Spec'!AC18,IF('DDR3 Config'!$G$1=4,'DDR3 Spec'!AN18,'DDR3 Spec'!AY18))))</f>
        <v>22</v>
      </c>
      <c r="H56" s="47" t="str">
        <f>IF('DDR3 Config'!$G$1=1,'DDR3 Spec'!H18,IF('DDR3 Config'!$G$1=2,'DDR3 Spec'!S18,IF('DDR3 Config'!$G$1=3,'DDR3 Spec'!AD18,IF('DDR3 Config'!$G$1=4,'DDR3 Spec'!AO18,'DDR3 Spec'!AZ18))))</f>
        <v xml:space="preserve"> na</v>
      </c>
      <c r="I56" s="47">
        <f>IF('DDR3 Config'!$G$1=1,'DDR3 Spec'!I18,IF('DDR3 Config'!$G$1=2,'DDR3 Spec'!T18,IF('DDR3 Config'!$G$1=3,'DDR3 Spec'!AE18,IF('DDR3 Config'!$G$1=4,'DDR3 Spec'!AP18,'DDR3 Spec'!BA18))))</f>
        <v>22</v>
      </c>
      <c r="J56" s="47">
        <f>IF('DDR3 Config'!$G$1=1,'DDR3 Spec'!J18,IF('DDR3 Config'!$G$1=2,'DDR3 Spec'!U18,IF('DDR3 Config'!$G$1=3,'DDR3 Spec'!AF18,IF('DDR3 Config'!$G$1=4,'DDR3 Spec'!AQ18,'DDR3 Spec'!BB18))))</f>
        <v>22</v>
      </c>
      <c r="K56" s="47">
        <f>IF('DDR3 Config'!$G$1=1,'DDR3 Spec'!K18,IF('DDR3 Config'!$G$1=2,'DDR3 Spec'!V18,IF('DDR3 Config'!$G$1=3,'DDR3 Spec'!AG18,IF('DDR3 Config'!$G$1=4,'DDR3 Spec'!AR18,'DDR3 Spec'!BC18))))</f>
        <v>22</v>
      </c>
      <c r="L56" s="47" t="str">
        <f>IF('DDR3 Config'!$G$1=1,'DDR3 Spec'!L18,IF('DDR3 Config'!$G$1=2,'DDR3 Spec'!W18,IF('DDR3 Config'!$G$1=3,'DDR3 Spec'!AH18,IF('DDR3 Config'!$G$1=4,'DDR3 Spec'!AS18,'DDR3 Spec'!BD18))))</f>
        <v xml:space="preserve"> na</v>
      </c>
      <c r="M56" s="47" t="str">
        <f>IF('DDR3 Config'!$G$1=1,'DDR3 Spec'!M18,IF('DDR3 Config'!$G$1=2,'DDR3 Spec'!X18,IF('DDR3 Config'!$G$1=3,'DDR3 Spec'!AI18,IF('DDR3 Config'!$G$1=4,'DDR3 Spec'!AT18,'DDR3 Spec'!BE18))))</f>
        <v xml:space="preserve"> na</v>
      </c>
      <c r="N56" s="47"/>
      <c r="O56" s="47"/>
      <c r="P56" s="47"/>
      <c r="Q56" s="47"/>
      <c r="R56" s="47"/>
      <c r="S56" s="47"/>
      <c r="T56" s="47"/>
      <c r="U56" s="47"/>
      <c r="V56" s="47"/>
      <c r="W56" s="47">
        <f>HLOOKUP($W$43,$D$43:$M$77,14)</f>
        <v>22</v>
      </c>
      <c r="X56" s="47"/>
      <c r="Y56" s="47"/>
      <c r="Z56" s="47"/>
      <c r="AA56" s="47"/>
      <c r="AB56" s="47"/>
      <c r="AC56" s="47"/>
      <c r="AD56" s="47"/>
      <c r="AE56" s="47"/>
      <c r="AF56" s="47"/>
      <c r="AG56" s="47"/>
      <c r="AH56" s="47"/>
      <c r="AI56" s="47"/>
      <c r="AJ56" s="47"/>
      <c r="AK56" s="27"/>
    </row>
    <row r="57" spans="1:37" ht="24" hidden="1" customHeight="1">
      <c r="A57" s="49"/>
      <c r="B57" s="50"/>
      <c r="C57" s="250" t="s">
        <v>184</v>
      </c>
      <c r="D57" s="47" t="str">
        <f>IF('DDR3 Config'!$G$1=1,'DDR3 Spec'!D19,IF('DDR3 Config'!$G$1=2,'DDR3 Spec'!O19,IF('DDR3 Config'!$G$1=3,'DDR3 Spec'!Z19,IF('DDR3 Config'!$G$1=4,'DDR3 Spec'!AK19,'DDR3 Spec'!AV19))))</f>
        <v xml:space="preserve"> na</v>
      </c>
      <c r="E57" s="47">
        <f>IF('DDR3 Config'!$G$1=1,'DDR3 Spec'!E19,IF('DDR3 Config'!$G$1=2,'DDR3 Spec'!P19,IF('DDR3 Config'!$G$1=3,'DDR3 Spec'!AA19,IF('DDR3 Config'!$G$1=4,'DDR3 Spec'!AL19,'DDR3 Spec'!AW19))))</f>
        <v>40</v>
      </c>
      <c r="F57" s="47" t="str">
        <f>IF('DDR3 Config'!$G$1=1,'DDR3 Spec'!F19,IF('DDR3 Config'!$G$1=2,'DDR3 Spec'!Q19,IF('DDR3 Config'!$G$1=3,'DDR3 Spec'!AB19,IF('DDR3 Config'!$G$1=4,'DDR3 Spec'!AM19,'DDR3 Spec'!AX19))))</f>
        <v xml:space="preserve"> na</v>
      </c>
      <c r="G57" s="47">
        <f>IF('DDR3 Config'!$G$1=1,'DDR3 Spec'!G19,IF('DDR3 Config'!$G$1=2,'DDR3 Spec'!R19,IF('DDR3 Config'!$G$1=3,'DDR3 Spec'!AC19,IF('DDR3 Config'!$G$1=4,'DDR3 Spec'!AN19,'DDR3 Spec'!AY19))))</f>
        <v>37</v>
      </c>
      <c r="H57" s="47" t="str">
        <f>IF('DDR3 Config'!$G$1=1,'DDR3 Spec'!H19,IF('DDR3 Config'!$G$1=2,'DDR3 Spec'!S19,IF('DDR3 Config'!$G$1=3,'DDR3 Spec'!AD19,IF('DDR3 Config'!$G$1=4,'DDR3 Spec'!AO19,'DDR3 Spec'!AZ19))))</f>
        <v xml:space="preserve"> na</v>
      </c>
      <c r="I57" s="47">
        <f>IF('DDR3 Config'!$G$1=1,'DDR3 Spec'!I19,IF('DDR3 Config'!$G$1=2,'DDR3 Spec'!T19,IF('DDR3 Config'!$G$1=3,'DDR3 Spec'!AE19,IF('DDR3 Config'!$G$1=4,'DDR3 Spec'!AP19,'DDR3 Spec'!BA19))))</f>
        <v>35</v>
      </c>
      <c r="J57" s="47">
        <f>IF('DDR3 Config'!$G$1=1,'DDR3 Spec'!J19,IF('DDR3 Config'!$G$1=2,'DDR3 Spec'!U19,IF('DDR3 Config'!$G$1=3,'DDR3 Spec'!AF19,IF('DDR3 Config'!$G$1=4,'DDR3 Spec'!AQ19,'DDR3 Spec'!BB19))))</f>
        <v>33</v>
      </c>
      <c r="K57" s="47">
        <f>IF('DDR3 Config'!$G$1=1,'DDR3 Spec'!K19,IF('DDR3 Config'!$G$1=2,'DDR3 Spec'!V19,IF('DDR3 Config'!$G$1=3,'DDR3 Spec'!AG19,IF('DDR3 Config'!$G$1=4,'DDR3 Spec'!AR19,'DDR3 Spec'!BC19))))</f>
        <v>31</v>
      </c>
      <c r="L57" s="47" t="str">
        <f>IF('DDR3 Config'!$G$1=1,'DDR3 Spec'!L19,IF('DDR3 Config'!$G$1=2,'DDR3 Spec'!W19,IF('DDR3 Config'!$G$1=3,'DDR3 Spec'!AH19,IF('DDR3 Config'!$G$1=4,'DDR3 Spec'!AS19,'DDR3 Spec'!BD19))))</f>
        <v xml:space="preserve"> na</v>
      </c>
      <c r="M57" s="47" t="str">
        <f>IF('DDR3 Config'!$G$1=1,'DDR3 Spec'!M19,IF('DDR3 Config'!$G$1=2,'DDR3 Spec'!X19,IF('DDR3 Config'!$G$1=3,'DDR3 Spec'!AI19,IF('DDR3 Config'!$G$1=4,'DDR3 Spec'!AT19,'DDR3 Spec'!BE19))))</f>
        <v xml:space="preserve"> na</v>
      </c>
      <c r="N57" s="47"/>
      <c r="O57" s="47"/>
      <c r="P57" s="47"/>
      <c r="Q57" s="47"/>
      <c r="R57" s="47"/>
      <c r="S57" s="47"/>
      <c r="T57" s="47"/>
      <c r="U57" s="47"/>
      <c r="V57" s="47"/>
      <c r="W57" s="47">
        <f>HLOOKUP($W$43,$D$43:$M$77,15)</f>
        <v>35</v>
      </c>
      <c r="X57" s="47"/>
      <c r="Y57" s="47"/>
      <c r="Z57" s="47"/>
      <c r="AA57" s="47"/>
      <c r="AB57" s="47"/>
      <c r="AC57" s="47"/>
      <c r="AD57" s="47"/>
      <c r="AE57" s="47"/>
      <c r="AF57" s="47"/>
      <c r="AG57" s="47"/>
      <c r="AH57" s="47"/>
      <c r="AI57" s="47"/>
      <c r="AJ57" s="47"/>
      <c r="AK57" s="27"/>
    </row>
    <row r="58" spans="1:37" ht="24" hidden="1" customHeight="1">
      <c r="A58" s="49"/>
      <c r="B58" s="50"/>
      <c r="C58" s="251"/>
      <c r="D58" s="47" t="str">
        <f>IF('DDR3 Config'!$G$1=1,'DDR3 Spec'!D20,IF('DDR3 Config'!$G$1=2,'DDR3 Spec'!O20,IF('DDR3 Config'!$G$1=3,'DDR3 Spec'!Z20,IF('DDR3 Config'!$G$1=4,'DDR3 Spec'!AK20,'DDR3 Spec'!AV20))))</f>
        <v xml:space="preserve"> na</v>
      </c>
      <c r="E58" s="47">
        <f>IF('DDR3 Config'!$G$1=1,'DDR3 Spec'!E20,IF('DDR3 Config'!$G$1=2,'DDR3 Spec'!P20,IF('DDR3 Config'!$G$1=3,'DDR3 Spec'!AA20,IF('DDR3 Config'!$G$1=4,'DDR3 Spec'!AL20,'DDR3 Spec'!AW20))))</f>
        <v>43</v>
      </c>
      <c r="F58" s="47" t="str">
        <f>IF('DDR3 Config'!$G$1=1,'DDR3 Spec'!F20,IF('DDR3 Config'!$G$1=2,'DDR3 Spec'!Q20,IF('DDR3 Config'!$G$1=3,'DDR3 Spec'!AB20,IF('DDR3 Config'!$G$1=4,'DDR3 Spec'!AM20,'DDR3 Spec'!AX20))))</f>
        <v xml:space="preserve"> na</v>
      </c>
      <c r="G58" s="47">
        <f>IF('DDR3 Config'!$G$1=1,'DDR3 Spec'!G20,IF('DDR3 Config'!$G$1=2,'DDR3 Spec'!R20,IF('DDR3 Config'!$G$1=3,'DDR3 Spec'!AC20,IF('DDR3 Config'!$G$1=4,'DDR3 Spec'!AN20,'DDR3 Spec'!AY20))))</f>
        <v>39</v>
      </c>
      <c r="H58" s="47" t="str">
        <f>IF('DDR3 Config'!$G$1=1,'DDR3 Spec'!H20,IF('DDR3 Config'!$G$1=2,'DDR3 Spec'!S20,IF('DDR3 Config'!$G$1=3,'DDR3 Spec'!AD20,IF('DDR3 Config'!$G$1=4,'DDR3 Spec'!AO20,'DDR3 Spec'!AZ20))))</f>
        <v xml:space="preserve"> na</v>
      </c>
      <c r="I58" s="47">
        <f>IF('DDR3 Config'!$G$1=1,'DDR3 Spec'!I20,IF('DDR3 Config'!$G$1=2,'DDR3 Spec'!T20,IF('DDR3 Config'!$G$1=3,'DDR3 Spec'!AE20,IF('DDR3 Config'!$G$1=4,'DDR3 Spec'!AP20,'DDR3 Spec'!BA20))))</f>
        <v>37</v>
      </c>
      <c r="J58" s="47">
        <f>IF('DDR3 Config'!$G$1=1,'DDR3 Spec'!J20,IF('DDR3 Config'!$G$1=2,'DDR3 Spec'!U20,IF('DDR3 Config'!$G$1=3,'DDR3 Spec'!AF20,IF('DDR3 Config'!$G$1=4,'DDR3 Spec'!AQ20,'DDR3 Spec'!BB20))))</f>
        <v>36</v>
      </c>
      <c r="K58" s="47">
        <f>IF('DDR3 Config'!$G$1=1,'DDR3 Spec'!K20,IF('DDR3 Config'!$G$1=2,'DDR3 Spec'!V20,IF('DDR3 Config'!$G$1=3,'DDR3 Spec'!AG20,IF('DDR3 Config'!$G$1=4,'DDR3 Spec'!AR20,'DDR3 Spec'!BC20))))</f>
        <v>33</v>
      </c>
      <c r="L58" s="47" t="str">
        <f>IF('DDR3 Config'!$G$1=1,'DDR3 Spec'!L20,IF('DDR3 Config'!$G$1=2,'DDR3 Spec'!W20,IF('DDR3 Config'!$G$1=3,'DDR3 Spec'!AH20,IF('DDR3 Config'!$G$1=4,'DDR3 Spec'!AS20,'DDR3 Spec'!BD20))))</f>
        <v xml:space="preserve"> na</v>
      </c>
      <c r="M58" s="47" t="str">
        <f>IF('DDR3 Config'!$G$1=1,'DDR3 Spec'!M20,IF('DDR3 Config'!$G$1=2,'DDR3 Spec'!X20,IF('DDR3 Config'!$G$1=3,'DDR3 Spec'!AI20,IF('DDR3 Config'!$G$1=4,'DDR3 Spec'!AT20,'DDR3 Spec'!BE20))))</f>
        <v xml:space="preserve"> na</v>
      </c>
      <c r="N58" s="47"/>
      <c r="O58" s="47"/>
      <c r="P58" s="47"/>
      <c r="Q58" s="47"/>
      <c r="R58" s="47"/>
      <c r="S58" s="47"/>
      <c r="T58" s="47"/>
      <c r="U58" s="47"/>
      <c r="V58" s="47"/>
      <c r="W58" s="47">
        <f>HLOOKUP($W$43,$D$43:$M$77,16)</f>
        <v>37</v>
      </c>
      <c r="X58" s="47"/>
      <c r="Y58" s="47"/>
      <c r="Z58" s="47"/>
      <c r="AA58" s="47"/>
      <c r="AB58" s="47"/>
      <c r="AC58" s="47"/>
      <c r="AD58" s="47"/>
      <c r="AE58" s="47"/>
      <c r="AF58" s="47"/>
      <c r="AG58" s="47"/>
      <c r="AH58" s="47"/>
      <c r="AI58" s="47"/>
      <c r="AJ58" s="47"/>
      <c r="AK58" s="27"/>
    </row>
    <row r="59" spans="1:37" ht="24" hidden="1" customHeight="1">
      <c r="A59" s="49"/>
      <c r="B59" s="50"/>
      <c r="C59" s="243" t="s">
        <v>185</v>
      </c>
      <c r="D59" s="47" t="str">
        <f>IF('DDR3 Config'!$G$1=1,'DDR3 Spec'!D21,IF('DDR3 Config'!$G$1=2,'DDR3 Spec'!O21,IF('DDR3 Config'!$G$1=3,'DDR3 Spec'!Z21,IF('DDR3 Config'!$G$1=4,'DDR3 Spec'!AK21,'DDR3 Spec'!AV21))))</f>
        <v xml:space="preserve"> na</v>
      </c>
      <c r="E59" s="47">
        <f>IF('DDR3 Config'!$G$1=1,'DDR3 Spec'!E21,IF('DDR3 Config'!$G$1=2,'DDR3 Spec'!P21,IF('DDR3 Config'!$G$1=3,'DDR3 Spec'!AA21,IF('DDR3 Config'!$G$1=4,'DDR3 Spec'!AL21,'DDR3 Spec'!AW21))))</f>
        <v>120</v>
      </c>
      <c r="F59" s="47" t="str">
        <f>IF('DDR3 Config'!$G$1=1,'DDR3 Spec'!F21,IF('DDR3 Config'!$G$1=2,'DDR3 Spec'!Q21,IF('DDR3 Config'!$G$1=3,'DDR3 Spec'!AB21,IF('DDR3 Config'!$G$1=4,'DDR3 Spec'!AM21,'DDR3 Spec'!AX21))))</f>
        <v xml:space="preserve"> na</v>
      </c>
      <c r="G59" s="47">
        <f>IF('DDR3 Config'!$G$1=1,'DDR3 Spec'!G21,IF('DDR3 Config'!$G$1=2,'DDR3 Spec'!R21,IF('DDR3 Config'!$G$1=3,'DDR3 Spec'!AC21,IF('DDR3 Config'!$G$1=4,'DDR3 Spec'!AN21,'DDR3 Spec'!AY21))))</f>
        <v>106</v>
      </c>
      <c r="H59" s="47" t="str">
        <f>IF('DDR3 Config'!$G$1=1,'DDR3 Spec'!H21,IF('DDR3 Config'!$G$1=2,'DDR3 Spec'!S21,IF('DDR3 Config'!$G$1=3,'DDR3 Spec'!AD21,IF('DDR3 Config'!$G$1=4,'DDR3 Spec'!AO21,'DDR3 Spec'!AZ21))))</f>
        <v xml:space="preserve"> na</v>
      </c>
      <c r="I59" s="47">
        <f>IF('DDR3 Config'!$G$1=1,'DDR3 Spec'!I21,IF('DDR3 Config'!$G$1=2,'DDR3 Spec'!T21,IF('DDR3 Config'!$G$1=3,'DDR3 Spec'!AE21,IF('DDR3 Config'!$G$1=4,'DDR3 Spec'!AP21,'DDR3 Spec'!BA21))))</f>
        <v>96</v>
      </c>
      <c r="J59" s="47">
        <f>IF('DDR3 Config'!$G$1=1,'DDR3 Spec'!J21,IF('DDR3 Config'!$G$1=2,'DDR3 Spec'!U21,IF('DDR3 Config'!$G$1=3,'DDR3 Spec'!AF21,IF('DDR3 Config'!$G$1=4,'DDR3 Spec'!AQ21,'DDR3 Spec'!BB21))))</f>
        <v>84</v>
      </c>
      <c r="K59" s="47">
        <f>IF('DDR3 Config'!$G$1=1,'DDR3 Spec'!K21,IF('DDR3 Config'!$G$1=2,'DDR3 Spec'!V21,IF('DDR3 Config'!$G$1=3,'DDR3 Spec'!AG21,IF('DDR3 Config'!$G$1=4,'DDR3 Spec'!AR21,'DDR3 Spec'!BC21))))</f>
        <v>70</v>
      </c>
      <c r="L59" s="47" t="str">
        <f>IF('DDR3 Config'!$G$1=1,'DDR3 Spec'!L21,IF('DDR3 Config'!$G$1=2,'DDR3 Spec'!W21,IF('DDR3 Config'!$G$1=3,'DDR3 Spec'!AH21,IF('DDR3 Config'!$G$1=4,'DDR3 Spec'!AS21,'DDR3 Spec'!BD21))))</f>
        <v xml:space="preserve"> na</v>
      </c>
      <c r="M59" s="47" t="str">
        <f>IF('DDR3 Config'!$G$1=1,'DDR3 Spec'!M21,IF('DDR3 Config'!$G$1=2,'DDR3 Spec'!X21,IF('DDR3 Config'!$G$1=3,'DDR3 Spec'!AI21,IF('DDR3 Config'!$G$1=4,'DDR3 Spec'!AT21,'DDR3 Spec'!BE21))))</f>
        <v xml:space="preserve"> na</v>
      </c>
      <c r="N59" s="47"/>
      <c r="O59" s="47"/>
      <c r="P59" s="47"/>
      <c r="Q59" s="47"/>
      <c r="R59" s="47"/>
      <c r="S59" s="47"/>
      <c r="T59" s="47"/>
      <c r="U59" s="47"/>
      <c r="V59" s="47"/>
      <c r="W59" s="47">
        <f>HLOOKUP($W$43,$D$43:$M$77,17)</f>
        <v>96</v>
      </c>
      <c r="X59" s="47"/>
      <c r="Y59" s="47"/>
      <c r="Z59" s="47"/>
      <c r="AA59" s="47"/>
      <c r="AB59" s="47"/>
      <c r="AC59" s="47"/>
      <c r="AD59" s="47"/>
      <c r="AE59" s="47"/>
      <c r="AF59" s="47"/>
      <c r="AG59" s="47"/>
      <c r="AH59" s="47"/>
      <c r="AI59" s="47"/>
      <c r="AJ59" s="47"/>
      <c r="AK59" s="27"/>
    </row>
    <row r="60" spans="1:37" ht="24" hidden="1" customHeight="1">
      <c r="A60" s="49"/>
      <c r="B60" s="50"/>
      <c r="C60" s="243"/>
      <c r="D60" s="47" t="str">
        <f>IF('DDR3 Config'!$G$1=1,'DDR3 Spec'!D22,IF('DDR3 Config'!$G$1=2,'DDR3 Spec'!O22,IF('DDR3 Config'!$G$1=3,'DDR3 Spec'!Z22,IF('DDR3 Config'!$G$1=4,'DDR3 Spec'!AK22,'DDR3 Spec'!AV22))))</f>
        <v xml:space="preserve"> na</v>
      </c>
      <c r="E60" s="47">
        <f>IF('DDR3 Config'!$G$1=1,'DDR3 Spec'!E22,IF('DDR3 Config'!$G$1=2,'DDR3 Spec'!P22,IF('DDR3 Config'!$G$1=3,'DDR3 Spec'!AA22,IF('DDR3 Config'!$G$1=4,'DDR3 Spec'!AL22,'DDR3 Spec'!AW22))))</f>
        <v>125</v>
      </c>
      <c r="F60" s="47" t="str">
        <f>IF('DDR3 Config'!$G$1=1,'DDR3 Spec'!F22,IF('DDR3 Config'!$G$1=2,'DDR3 Spec'!Q22,IF('DDR3 Config'!$G$1=3,'DDR3 Spec'!AB22,IF('DDR3 Config'!$G$1=4,'DDR3 Spec'!AM22,'DDR3 Spec'!AX22))))</f>
        <v xml:space="preserve"> na</v>
      </c>
      <c r="G60" s="47">
        <f>IF('DDR3 Config'!$G$1=1,'DDR3 Spec'!G22,IF('DDR3 Config'!$G$1=2,'DDR3 Spec'!R22,IF('DDR3 Config'!$G$1=3,'DDR3 Spec'!AC22,IF('DDR3 Config'!$G$1=4,'DDR3 Spec'!AN22,'DDR3 Spec'!AY22))))</f>
        <v>110</v>
      </c>
      <c r="H60" s="47" t="str">
        <f>IF('DDR3 Config'!$G$1=1,'DDR3 Spec'!H22,IF('DDR3 Config'!$G$1=2,'DDR3 Spec'!S22,IF('DDR3 Config'!$G$1=3,'DDR3 Spec'!AD22,IF('DDR3 Config'!$G$1=4,'DDR3 Spec'!AO22,'DDR3 Spec'!AZ22))))</f>
        <v xml:space="preserve"> na</v>
      </c>
      <c r="I60" s="47">
        <f>IF('DDR3 Config'!$G$1=1,'DDR3 Spec'!I22,IF('DDR3 Config'!$G$1=2,'DDR3 Spec'!T22,IF('DDR3 Config'!$G$1=3,'DDR3 Spec'!AE22,IF('DDR3 Config'!$G$1=4,'DDR3 Spec'!AP22,'DDR3 Spec'!BA22))))</f>
        <v>100</v>
      </c>
      <c r="J60" s="47">
        <f>IF('DDR3 Config'!$G$1=1,'DDR3 Spec'!J22,IF('DDR3 Config'!$G$1=2,'DDR3 Spec'!U22,IF('DDR3 Config'!$G$1=3,'DDR3 Spec'!AF22,IF('DDR3 Config'!$G$1=4,'DDR3 Spec'!AQ22,'DDR3 Spec'!BB22))))</f>
        <v>88</v>
      </c>
      <c r="K60" s="47">
        <f>IF('DDR3 Config'!$G$1=1,'DDR3 Spec'!K22,IF('DDR3 Config'!$G$1=2,'DDR3 Spec'!V22,IF('DDR3 Config'!$G$1=3,'DDR3 Spec'!AG22,IF('DDR3 Config'!$G$1=4,'DDR3 Spec'!AR22,'DDR3 Spec'!BC22))))</f>
        <v>74</v>
      </c>
      <c r="L60" s="47" t="str">
        <f>IF('DDR3 Config'!$G$1=1,'DDR3 Spec'!L22,IF('DDR3 Config'!$G$1=2,'DDR3 Spec'!W22,IF('DDR3 Config'!$G$1=3,'DDR3 Spec'!AH22,IF('DDR3 Config'!$G$1=4,'DDR3 Spec'!AS22,'DDR3 Spec'!BD22))))</f>
        <v xml:space="preserve"> na</v>
      </c>
      <c r="M60" s="47" t="str">
        <f>IF('DDR3 Config'!$G$1=1,'DDR3 Spec'!M22,IF('DDR3 Config'!$G$1=2,'DDR3 Spec'!X22,IF('DDR3 Config'!$G$1=3,'DDR3 Spec'!AI22,IF('DDR3 Config'!$G$1=4,'DDR3 Spec'!AT22,'DDR3 Spec'!BE22))))</f>
        <v xml:space="preserve"> na</v>
      </c>
      <c r="N60" s="47"/>
      <c r="O60" s="47"/>
      <c r="P60" s="47"/>
      <c r="Q60" s="47"/>
      <c r="R60" s="47"/>
      <c r="S60" s="47"/>
      <c r="T60" s="47"/>
      <c r="U60" s="47"/>
      <c r="V60" s="47"/>
      <c r="W60" s="47">
        <f>HLOOKUP($W$43,$D$43:$M$77,18)</f>
        <v>100</v>
      </c>
      <c r="X60" s="47"/>
      <c r="Y60" s="47"/>
      <c r="Z60" s="47"/>
      <c r="AA60" s="47"/>
      <c r="AB60" s="47"/>
      <c r="AC60" s="47"/>
      <c r="AD60" s="47"/>
      <c r="AE60" s="47"/>
      <c r="AF60" s="47"/>
      <c r="AG60" s="47"/>
      <c r="AH60" s="47"/>
      <c r="AI60" s="47"/>
      <c r="AJ60" s="47"/>
      <c r="AK60" s="27"/>
    </row>
    <row r="61" spans="1:37" ht="24" hidden="1" customHeight="1">
      <c r="A61" s="49"/>
      <c r="B61" s="50"/>
      <c r="C61" s="243"/>
      <c r="D61" s="47" t="str">
        <f>IF('DDR3 Config'!$G$1=1,'DDR3 Spec'!D23,IF('DDR3 Config'!$G$1=2,'DDR3 Spec'!O23,IF('DDR3 Config'!$G$1=3,'DDR3 Spec'!Z23,IF('DDR3 Config'!$G$1=4,'DDR3 Spec'!AK23,'DDR3 Spec'!AV23))))</f>
        <v xml:space="preserve"> na</v>
      </c>
      <c r="E61" s="47">
        <f>IF('DDR3 Config'!$G$1=1,'DDR3 Spec'!E23,IF('DDR3 Config'!$G$1=2,'DDR3 Spec'!P23,IF('DDR3 Config'!$G$1=3,'DDR3 Spec'!AA23,IF('DDR3 Config'!$G$1=4,'DDR3 Spec'!AL23,'DDR3 Spec'!AW23))))</f>
        <v>180</v>
      </c>
      <c r="F61" s="47" t="str">
        <f>IF('DDR3 Config'!$G$1=1,'DDR3 Spec'!F23,IF('DDR3 Config'!$G$1=2,'DDR3 Spec'!Q23,IF('DDR3 Config'!$G$1=3,'DDR3 Spec'!AB23,IF('DDR3 Config'!$G$1=4,'DDR3 Spec'!AM23,'DDR3 Spec'!AX23))))</f>
        <v xml:space="preserve"> na</v>
      </c>
      <c r="G61" s="47">
        <f>IF('DDR3 Config'!$G$1=1,'DDR3 Spec'!G23,IF('DDR3 Config'!$G$1=2,'DDR3 Spec'!R23,IF('DDR3 Config'!$G$1=3,'DDR3 Spec'!AC23,IF('DDR3 Config'!$G$1=4,'DDR3 Spec'!AN23,'DDR3 Spec'!AY23))))</f>
        <v>155</v>
      </c>
      <c r="H61" s="47" t="str">
        <f>IF('DDR3 Config'!$G$1=1,'DDR3 Spec'!H23,IF('DDR3 Config'!$G$1=2,'DDR3 Spec'!S23,IF('DDR3 Config'!$G$1=3,'DDR3 Spec'!AD23,IF('DDR3 Config'!$G$1=4,'DDR3 Spec'!AO23,'DDR3 Spec'!AZ23))))</f>
        <v xml:space="preserve"> na</v>
      </c>
      <c r="I61" s="47">
        <f>IF('DDR3 Config'!$G$1=1,'DDR3 Spec'!I23,IF('DDR3 Config'!$G$1=2,'DDR3 Spec'!T23,IF('DDR3 Config'!$G$1=3,'DDR3 Spec'!AE23,IF('DDR3 Config'!$G$1=4,'DDR3 Spec'!AP23,'DDR3 Spec'!BA23))))</f>
        <v>135</v>
      </c>
      <c r="J61" s="47">
        <f>IF('DDR3 Config'!$G$1=1,'DDR3 Spec'!J23,IF('DDR3 Config'!$G$1=2,'DDR3 Spec'!U23,IF('DDR3 Config'!$G$1=3,'DDR3 Spec'!AF23,IF('DDR3 Config'!$G$1=4,'DDR3 Spec'!AQ23,'DDR3 Spec'!BB23))))</f>
        <v>115</v>
      </c>
      <c r="K61" s="47">
        <f>IF('DDR3 Config'!$G$1=1,'DDR3 Spec'!K23,IF('DDR3 Config'!$G$1=2,'DDR3 Spec'!V23,IF('DDR3 Config'!$G$1=3,'DDR3 Spec'!AG23,IF('DDR3 Config'!$G$1=4,'DDR3 Spec'!AR23,'DDR3 Spec'!BC23))))</f>
        <v>95</v>
      </c>
      <c r="L61" s="47" t="str">
        <f>IF('DDR3 Config'!$G$1=1,'DDR3 Spec'!L23,IF('DDR3 Config'!$G$1=2,'DDR3 Spec'!W23,IF('DDR3 Config'!$G$1=3,'DDR3 Spec'!AH23,IF('DDR3 Config'!$G$1=4,'DDR3 Spec'!AS23,'DDR3 Spec'!BD23))))</f>
        <v xml:space="preserve"> na</v>
      </c>
      <c r="M61" s="47" t="str">
        <f>IF('DDR3 Config'!$G$1=1,'DDR3 Spec'!M23,IF('DDR3 Config'!$G$1=2,'DDR3 Spec'!X23,IF('DDR3 Config'!$G$1=3,'DDR3 Spec'!AI23,IF('DDR3 Config'!$G$1=4,'DDR3 Spec'!AT23,'DDR3 Spec'!BE23))))</f>
        <v xml:space="preserve"> na</v>
      </c>
      <c r="N61" s="47"/>
      <c r="O61" s="47"/>
      <c r="P61" s="47"/>
      <c r="Q61" s="47"/>
      <c r="R61" s="47"/>
      <c r="S61" s="47"/>
      <c r="T61" s="47"/>
      <c r="U61" s="47"/>
      <c r="V61" s="47"/>
      <c r="W61" s="47">
        <f>HLOOKUP($W$43,$D$43:$M$77,19)</f>
        <v>135</v>
      </c>
      <c r="X61" s="47"/>
      <c r="Y61" s="47"/>
      <c r="Z61" s="47"/>
      <c r="AA61" s="47"/>
      <c r="AB61" s="47"/>
      <c r="AC61" s="47"/>
      <c r="AD61" s="47"/>
      <c r="AE61" s="47"/>
      <c r="AF61" s="47"/>
      <c r="AG61" s="47"/>
      <c r="AH61" s="47"/>
      <c r="AI61" s="47"/>
      <c r="AJ61" s="47"/>
      <c r="AK61" s="27"/>
    </row>
    <row r="62" spans="1:37" ht="24" hidden="1" customHeight="1">
      <c r="A62" s="49"/>
      <c r="B62" s="50"/>
      <c r="C62" s="243" t="s">
        <v>186</v>
      </c>
      <c r="D62" s="47" t="str">
        <f>IF('DDR3 Config'!$G$1=1,'DDR3 Spec'!D24,IF('DDR3 Config'!$G$1=2,'DDR3 Spec'!O24,IF('DDR3 Config'!$G$1=3,'DDR3 Spec'!Z24,IF('DDR3 Config'!$G$1=4,'DDR3 Spec'!AK24,'DDR3 Spec'!AV24))))</f>
        <v xml:space="preserve"> na</v>
      </c>
      <c r="E62" s="47">
        <f>IF('DDR3 Config'!$G$1=1,'DDR3 Spec'!E24,IF('DDR3 Config'!$G$1=2,'DDR3 Spec'!P24,IF('DDR3 Config'!$G$1=3,'DDR3 Spec'!AA24,IF('DDR3 Config'!$G$1=4,'DDR3 Spec'!AL24,'DDR3 Spec'!AW24))))</f>
        <v>122</v>
      </c>
      <c r="F62" s="47" t="str">
        <f>IF('DDR3 Config'!$G$1=1,'DDR3 Spec'!F24,IF('DDR3 Config'!$G$1=2,'DDR3 Spec'!Q24,IF('DDR3 Config'!$G$1=3,'DDR3 Spec'!AB24,IF('DDR3 Config'!$G$1=4,'DDR3 Spec'!AM24,'DDR3 Spec'!AX24))))</f>
        <v xml:space="preserve"> na</v>
      </c>
      <c r="G62" s="47">
        <f>IF('DDR3 Config'!$G$1=1,'DDR3 Spec'!G24,IF('DDR3 Config'!$G$1=2,'DDR3 Spec'!R24,IF('DDR3 Config'!$G$1=3,'DDR3 Spec'!AC24,IF('DDR3 Config'!$G$1=4,'DDR3 Spec'!AN24,'DDR3 Spec'!AY24))))</f>
        <v>110</v>
      </c>
      <c r="H62" s="47" t="str">
        <f>IF('DDR3 Config'!$G$1=1,'DDR3 Spec'!H24,IF('DDR3 Config'!$G$1=2,'DDR3 Spec'!S24,IF('DDR3 Config'!$G$1=3,'DDR3 Spec'!AD24,IF('DDR3 Config'!$G$1=4,'DDR3 Spec'!AO24,'DDR3 Spec'!AZ24))))</f>
        <v xml:space="preserve"> na</v>
      </c>
      <c r="I62" s="47">
        <f>IF('DDR3 Config'!$G$1=1,'DDR3 Spec'!I24,IF('DDR3 Config'!$G$1=2,'DDR3 Spec'!T24,IF('DDR3 Config'!$G$1=3,'DDR3 Spec'!AE24,IF('DDR3 Config'!$G$1=4,'DDR3 Spec'!AP24,'DDR3 Spec'!BA24))))</f>
        <v>99</v>
      </c>
      <c r="J62" s="47">
        <f>IF('DDR3 Config'!$G$1=1,'DDR3 Spec'!J24,IF('DDR3 Config'!$G$1=2,'DDR3 Spec'!U24,IF('DDR3 Config'!$G$1=3,'DDR3 Spec'!AF24,IF('DDR3 Config'!$G$1=4,'DDR3 Spec'!AQ24,'DDR3 Spec'!BB24))))</f>
        <v>87</v>
      </c>
      <c r="K62" s="47">
        <f>IF('DDR3 Config'!$G$1=1,'DDR3 Spec'!K24,IF('DDR3 Config'!$G$1=2,'DDR3 Spec'!V24,IF('DDR3 Config'!$G$1=3,'DDR3 Spec'!AG24,IF('DDR3 Config'!$G$1=4,'DDR3 Spec'!AR24,'DDR3 Spec'!BC24))))</f>
        <v>75</v>
      </c>
      <c r="L62" s="47" t="str">
        <f>IF('DDR3 Config'!$G$1=1,'DDR3 Spec'!L24,IF('DDR3 Config'!$G$1=2,'DDR3 Spec'!W24,IF('DDR3 Config'!$G$1=3,'DDR3 Spec'!AH24,IF('DDR3 Config'!$G$1=4,'DDR3 Spec'!AS24,'DDR3 Spec'!BD24))))</f>
        <v xml:space="preserve"> na</v>
      </c>
      <c r="M62" s="47" t="str">
        <f>IF('DDR3 Config'!$G$1=1,'DDR3 Spec'!M24,IF('DDR3 Config'!$G$1=2,'DDR3 Spec'!X24,IF('DDR3 Config'!$G$1=3,'DDR3 Spec'!AI24,IF('DDR3 Config'!$G$1=4,'DDR3 Spec'!AT24,'DDR3 Spec'!BE24))))</f>
        <v xml:space="preserve"> na</v>
      </c>
      <c r="N62" s="47"/>
      <c r="O62" s="47"/>
      <c r="P62" s="47"/>
      <c r="Q62" s="47"/>
      <c r="R62" s="47"/>
      <c r="S62" s="47"/>
      <c r="T62" s="47"/>
      <c r="U62" s="47"/>
      <c r="V62" s="47"/>
      <c r="W62" s="47">
        <f>HLOOKUP($W$43,$D$43:$M$77,20)</f>
        <v>99</v>
      </c>
      <c r="X62" s="47"/>
      <c r="Y62" s="47"/>
      <c r="Z62" s="47"/>
      <c r="AA62" s="47"/>
      <c r="AB62" s="47"/>
      <c r="AC62" s="47"/>
      <c r="AD62" s="47"/>
      <c r="AE62" s="47"/>
      <c r="AF62" s="47"/>
      <c r="AG62" s="47"/>
      <c r="AH62" s="47"/>
      <c r="AI62" s="47"/>
      <c r="AJ62" s="47"/>
      <c r="AK62" s="27"/>
    </row>
    <row r="63" spans="1:37" ht="24" hidden="1" customHeight="1">
      <c r="A63" s="49"/>
      <c r="B63" s="50"/>
      <c r="C63" s="243"/>
      <c r="D63" s="47" t="str">
        <f>IF('DDR3 Config'!$G$1=1,'DDR3 Spec'!D25,IF('DDR3 Config'!$G$1=2,'DDR3 Spec'!O25,IF('DDR3 Config'!$G$1=3,'DDR3 Spec'!Z25,IF('DDR3 Config'!$G$1=4,'DDR3 Spec'!AK25,'DDR3 Spec'!AV25))))</f>
        <v xml:space="preserve"> na</v>
      </c>
      <c r="E63" s="47">
        <f>IF('DDR3 Config'!$G$1=1,'DDR3 Spec'!E25,IF('DDR3 Config'!$G$1=2,'DDR3 Spec'!P25,IF('DDR3 Config'!$G$1=3,'DDR3 Spec'!AA25,IF('DDR3 Config'!$G$1=4,'DDR3 Spec'!AL25,'DDR3 Spec'!AW25))))</f>
        <v>126</v>
      </c>
      <c r="F63" s="47" t="str">
        <f>IF('DDR3 Config'!$G$1=1,'DDR3 Spec'!F25,IF('DDR3 Config'!$G$1=2,'DDR3 Spec'!Q25,IF('DDR3 Config'!$G$1=3,'DDR3 Spec'!AB25,IF('DDR3 Config'!$G$1=4,'DDR3 Spec'!AM25,'DDR3 Spec'!AX25))))</f>
        <v xml:space="preserve"> na</v>
      </c>
      <c r="G63" s="47">
        <f>IF('DDR3 Config'!$G$1=1,'DDR3 Spec'!G25,IF('DDR3 Config'!$G$1=2,'DDR3 Spec'!R25,IF('DDR3 Config'!$G$1=3,'DDR3 Spec'!AC25,IF('DDR3 Config'!$G$1=4,'DDR3 Spec'!AN25,'DDR3 Spec'!AY25))))</f>
        <v>114</v>
      </c>
      <c r="H63" s="47" t="str">
        <f>IF('DDR3 Config'!$G$1=1,'DDR3 Spec'!H25,IF('DDR3 Config'!$G$1=2,'DDR3 Spec'!S25,IF('DDR3 Config'!$G$1=3,'DDR3 Spec'!AD25,IF('DDR3 Config'!$G$1=4,'DDR3 Spec'!AO25,'DDR3 Spec'!AZ25))))</f>
        <v xml:space="preserve"> na</v>
      </c>
      <c r="I63" s="47">
        <f>IF('DDR3 Config'!$G$1=1,'DDR3 Spec'!I25,IF('DDR3 Config'!$G$1=2,'DDR3 Spec'!T25,IF('DDR3 Config'!$G$1=3,'DDR3 Spec'!AE25,IF('DDR3 Config'!$G$1=4,'DDR3 Spec'!AP25,'DDR3 Spec'!BA25))))</f>
        <v>103</v>
      </c>
      <c r="J63" s="47">
        <f>IF('DDR3 Config'!$G$1=1,'DDR3 Spec'!J25,IF('DDR3 Config'!$G$1=2,'DDR3 Spec'!U25,IF('DDR3 Config'!$G$1=3,'DDR3 Spec'!AF25,IF('DDR3 Config'!$G$1=4,'DDR3 Spec'!AQ25,'DDR3 Spec'!BB25))))</f>
        <v>91</v>
      </c>
      <c r="K63" s="47">
        <f>IF('DDR3 Config'!$G$1=1,'DDR3 Spec'!K25,IF('DDR3 Config'!$G$1=2,'DDR3 Spec'!V25,IF('DDR3 Config'!$G$1=3,'DDR3 Spec'!AG25,IF('DDR3 Config'!$G$1=4,'DDR3 Spec'!AR25,'DDR3 Spec'!BC25))))</f>
        <v>79</v>
      </c>
      <c r="L63" s="47" t="str">
        <f>IF('DDR3 Config'!$G$1=1,'DDR3 Spec'!L25,IF('DDR3 Config'!$G$1=2,'DDR3 Spec'!W25,IF('DDR3 Config'!$G$1=3,'DDR3 Spec'!AH25,IF('DDR3 Config'!$G$1=4,'DDR3 Spec'!AS25,'DDR3 Spec'!BD25))))</f>
        <v xml:space="preserve"> na</v>
      </c>
      <c r="M63" s="47" t="str">
        <f>IF('DDR3 Config'!$G$1=1,'DDR3 Spec'!M25,IF('DDR3 Config'!$G$1=2,'DDR3 Spec'!X25,IF('DDR3 Config'!$G$1=3,'DDR3 Spec'!AI25,IF('DDR3 Config'!$G$1=4,'DDR3 Spec'!AT25,'DDR3 Spec'!BE25))))</f>
        <v xml:space="preserve"> na</v>
      </c>
      <c r="N63" s="47"/>
      <c r="O63" s="47"/>
      <c r="P63" s="47"/>
      <c r="Q63" s="47"/>
      <c r="R63" s="47"/>
      <c r="S63" s="47"/>
      <c r="T63" s="47"/>
      <c r="U63" s="47"/>
      <c r="V63" s="47"/>
      <c r="W63" s="47">
        <f>HLOOKUP($W$43,$D$43:$M$77,21)</f>
        <v>103</v>
      </c>
      <c r="X63" s="47"/>
      <c r="Y63" s="47"/>
      <c r="Z63" s="47"/>
      <c r="AA63" s="47"/>
      <c r="AB63" s="47"/>
      <c r="AC63" s="47"/>
      <c r="AD63" s="47"/>
      <c r="AE63" s="47"/>
      <c r="AF63" s="47"/>
      <c r="AG63" s="47"/>
      <c r="AH63" s="47"/>
      <c r="AI63" s="47"/>
      <c r="AJ63" s="47"/>
      <c r="AK63" s="27"/>
    </row>
    <row r="64" spans="1:37" ht="24" hidden="1" customHeight="1">
      <c r="A64" s="49"/>
      <c r="B64" s="50"/>
      <c r="C64" s="243"/>
      <c r="D64" s="47" t="str">
        <f>IF('DDR3 Config'!$G$1=1,'DDR3 Spec'!D26,IF('DDR3 Config'!$G$1=2,'DDR3 Spec'!O26,IF('DDR3 Config'!$G$1=3,'DDR3 Spec'!Z26,IF('DDR3 Config'!$G$1=4,'DDR3 Spec'!AK26,'DDR3 Spec'!AV26))))</f>
        <v xml:space="preserve"> na</v>
      </c>
      <c r="E64" s="47">
        <f>IF('DDR3 Config'!$G$1=1,'DDR3 Spec'!E26,IF('DDR3 Config'!$G$1=2,'DDR3 Spec'!P26,IF('DDR3 Config'!$G$1=3,'DDR3 Spec'!AA26,IF('DDR3 Config'!$G$1=4,'DDR3 Spec'!AL26,'DDR3 Spec'!AW26))))</f>
        <v>184</v>
      </c>
      <c r="F64" s="47" t="str">
        <f>IF('DDR3 Config'!$G$1=1,'DDR3 Spec'!F26,IF('DDR3 Config'!$G$1=2,'DDR3 Spec'!Q26,IF('DDR3 Config'!$G$1=3,'DDR3 Spec'!AB26,IF('DDR3 Config'!$G$1=4,'DDR3 Spec'!AM26,'DDR3 Spec'!AX26))))</f>
        <v xml:space="preserve"> na</v>
      </c>
      <c r="G64" s="47">
        <f>IF('DDR3 Config'!$G$1=1,'DDR3 Spec'!G26,IF('DDR3 Config'!$G$1=2,'DDR3 Spec'!R26,IF('DDR3 Config'!$G$1=3,'DDR3 Spec'!AC26,IF('DDR3 Config'!$G$1=4,'DDR3 Spec'!AN26,'DDR3 Spec'!AY26))))</f>
        <v>164</v>
      </c>
      <c r="H64" s="47" t="str">
        <f>IF('DDR3 Config'!$G$1=1,'DDR3 Spec'!H26,IF('DDR3 Config'!$G$1=2,'DDR3 Spec'!S26,IF('DDR3 Config'!$G$1=3,'DDR3 Spec'!AD26,IF('DDR3 Config'!$G$1=4,'DDR3 Spec'!AO26,'DDR3 Spec'!AZ26))))</f>
        <v xml:space="preserve"> na</v>
      </c>
      <c r="I64" s="47">
        <f>IF('DDR3 Config'!$G$1=1,'DDR3 Spec'!I26,IF('DDR3 Config'!$G$1=2,'DDR3 Spec'!T26,IF('DDR3 Config'!$G$1=3,'DDR3 Spec'!AE26,IF('DDR3 Config'!$G$1=4,'DDR3 Spec'!AP26,'DDR3 Spec'!BA26))))</f>
        <v>146</v>
      </c>
      <c r="J64" s="47">
        <f>IF('DDR3 Config'!$G$1=1,'DDR3 Spec'!J26,IF('DDR3 Config'!$G$1=2,'DDR3 Spec'!U26,IF('DDR3 Config'!$G$1=3,'DDR3 Spec'!AF26,IF('DDR3 Config'!$G$1=4,'DDR3 Spec'!AQ26,'DDR3 Spec'!BB26))))</f>
        <v>127</v>
      </c>
      <c r="K64" s="47">
        <f>IF('DDR3 Config'!$G$1=1,'DDR3 Spec'!K26,IF('DDR3 Config'!$G$1=2,'DDR3 Spec'!V26,IF('DDR3 Config'!$G$1=3,'DDR3 Spec'!AG26,IF('DDR3 Config'!$G$1=4,'DDR3 Spec'!AR26,'DDR3 Spec'!BC26))))</f>
        <v>107</v>
      </c>
      <c r="L64" s="47" t="str">
        <f>IF('DDR3 Config'!$G$1=1,'DDR3 Spec'!L26,IF('DDR3 Config'!$G$1=2,'DDR3 Spec'!W26,IF('DDR3 Config'!$G$1=3,'DDR3 Spec'!AH26,IF('DDR3 Config'!$G$1=4,'DDR3 Spec'!AS26,'DDR3 Spec'!BD26))))</f>
        <v xml:space="preserve"> na</v>
      </c>
      <c r="M64" s="47" t="str">
        <f>IF('DDR3 Config'!$G$1=1,'DDR3 Spec'!M26,IF('DDR3 Config'!$G$1=2,'DDR3 Spec'!X26,IF('DDR3 Config'!$G$1=3,'DDR3 Spec'!AI26,IF('DDR3 Config'!$G$1=4,'DDR3 Spec'!AT26,'DDR3 Spec'!BE26))))</f>
        <v xml:space="preserve"> na</v>
      </c>
      <c r="N64" s="47"/>
      <c r="O64" s="47"/>
      <c r="P64" s="47"/>
      <c r="Q64" s="47"/>
      <c r="R64" s="47"/>
      <c r="S64" s="47"/>
      <c r="T64" s="47"/>
      <c r="U64" s="47"/>
      <c r="V64" s="47"/>
      <c r="W64" s="47">
        <f>HLOOKUP($W$43,$D$43:$M$77,22)</f>
        <v>146</v>
      </c>
      <c r="X64" s="47"/>
      <c r="Y64" s="47"/>
      <c r="Z64" s="47"/>
      <c r="AA64" s="47"/>
      <c r="AB64" s="47"/>
      <c r="AC64" s="47"/>
      <c r="AD64" s="47"/>
      <c r="AE64" s="47"/>
      <c r="AF64" s="47"/>
      <c r="AG64" s="47"/>
      <c r="AH64" s="47"/>
      <c r="AI64" s="47"/>
      <c r="AJ64" s="47"/>
      <c r="AK64" s="27"/>
    </row>
    <row r="65" spans="1:37" ht="24" hidden="1" customHeight="1">
      <c r="A65" s="49"/>
      <c r="B65" s="50"/>
      <c r="C65" s="243" t="s">
        <v>187</v>
      </c>
      <c r="D65" s="47" t="str">
        <f>IF('DDR3 Config'!$G$1=1,'DDR3 Spec'!D27,IF('DDR3 Config'!$G$1=2,'DDR3 Spec'!O27,IF('DDR3 Config'!$G$1=3,'DDR3 Spec'!Z27,IF('DDR3 Config'!$G$1=4,'DDR3 Spec'!AK27,'DDR3 Spec'!AV27))))</f>
        <v xml:space="preserve"> na</v>
      </c>
      <c r="E65" s="47">
        <f>IF('DDR3 Config'!$G$1=1,'DDR3 Spec'!E27,IF('DDR3 Config'!$G$1=2,'DDR3 Spec'!P27,IF('DDR3 Config'!$G$1=3,'DDR3 Spec'!AA27,IF('DDR3 Config'!$G$1=4,'DDR3 Spec'!AL27,'DDR3 Spec'!AW27))))</f>
        <v>190</v>
      </c>
      <c r="F65" s="47" t="str">
        <f>IF('DDR3 Config'!$G$1=1,'DDR3 Spec'!F27,IF('DDR3 Config'!$G$1=2,'DDR3 Spec'!Q27,IF('DDR3 Config'!$G$1=3,'DDR3 Spec'!AB27,IF('DDR3 Config'!$G$1=4,'DDR3 Spec'!AM27,'DDR3 Spec'!AX27))))</f>
        <v xml:space="preserve"> na</v>
      </c>
      <c r="G65" s="47">
        <f>IF('DDR3 Config'!$G$1=1,'DDR3 Spec'!G27,IF('DDR3 Config'!$G$1=2,'DDR3 Spec'!R27,IF('DDR3 Config'!$G$1=3,'DDR3 Spec'!AC27,IF('DDR3 Config'!$G$1=4,'DDR3 Spec'!AN27,'DDR3 Spec'!AY27))))</f>
        <v>184</v>
      </c>
      <c r="H65" s="47" t="str">
        <f>IF('DDR3 Config'!$G$1=1,'DDR3 Spec'!H27,IF('DDR3 Config'!$G$1=2,'DDR3 Spec'!S27,IF('DDR3 Config'!$G$1=3,'DDR3 Spec'!AD27,IF('DDR3 Config'!$G$1=4,'DDR3 Spec'!AO27,'DDR3 Spec'!AZ27))))</f>
        <v xml:space="preserve"> na</v>
      </c>
      <c r="I65" s="47">
        <f>IF('DDR3 Config'!$G$1=1,'DDR3 Spec'!I27,IF('DDR3 Config'!$G$1=2,'DDR3 Spec'!T27,IF('DDR3 Config'!$G$1=3,'DDR3 Spec'!AE27,IF('DDR3 Config'!$G$1=4,'DDR3 Spec'!AP27,'DDR3 Spec'!BA27))))</f>
        <v>182</v>
      </c>
      <c r="J65" s="47">
        <f>IF('DDR3 Config'!$G$1=1,'DDR3 Spec'!J27,IF('DDR3 Config'!$G$1=2,'DDR3 Spec'!U27,IF('DDR3 Config'!$G$1=3,'DDR3 Spec'!AF27,IF('DDR3 Config'!$G$1=4,'DDR3 Spec'!AQ27,'DDR3 Spec'!BB27))))</f>
        <v>181</v>
      </c>
      <c r="K65" s="47">
        <f>IF('DDR3 Config'!$G$1=1,'DDR3 Spec'!K27,IF('DDR3 Config'!$G$1=2,'DDR3 Spec'!V27,IF('DDR3 Config'!$G$1=3,'DDR3 Spec'!AG27,IF('DDR3 Config'!$G$1=4,'DDR3 Spec'!AR27,'DDR3 Spec'!BC27))))</f>
        <v>179</v>
      </c>
      <c r="L65" s="47" t="str">
        <f>IF('DDR3 Config'!$G$1=1,'DDR3 Spec'!L27,IF('DDR3 Config'!$G$1=2,'DDR3 Spec'!W27,IF('DDR3 Config'!$G$1=3,'DDR3 Spec'!AH27,IF('DDR3 Config'!$G$1=4,'DDR3 Spec'!AS27,'DDR3 Spec'!BD27))))</f>
        <v xml:space="preserve"> na</v>
      </c>
      <c r="M65" s="47" t="str">
        <f>IF('DDR3 Config'!$G$1=1,'DDR3 Spec'!M27,IF('DDR3 Config'!$G$1=2,'DDR3 Spec'!X27,IF('DDR3 Config'!$G$1=3,'DDR3 Spec'!AI27,IF('DDR3 Config'!$G$1=4,'DDR3 Spec'!AT27,'DDR3 Spec'!BE27))))</f>
        <v xml:space="preserve"> na</v>
      </c>
      <c r="N65" s="47"/>
      <c r="O65" s="47"/>
      <c r="P65" s="47"/>
      <c r="Q65" s="47"/>
      <c r="R65" s="47"/>
      <c r="S65" s="47"/>
      <c r="T65" s="47"/>
      <c r="U65" s="47"/>
      <c r="V65" s="47"/>
      <c r="W65" s="47">
        <f>HLOOKUP($W$43,$D$43:$M$77,23)</f>
        <v>182</v>
      </c>
      <c r="X65" s="47"/>
      <c r="Y65" s="47"/>
      <c r="Z65" s="47"/>
      <c r="AA65" s="47"/>
      <c r="AB65" s="47"/>
      <c r="AC65" s="47"/>
      <c r="AD65" s="47"/>
      <c r="AE65" s="47"/>
      <c r="AF65" s="47"/>
      <c r="AG65" s="47"/>
      <c r="AH65" s="47"/>
      <c r="AI65" s="47"/>
      <c r="AJ65" s="47"/>
      <c r="AK65" s="27"/>
    </row>
    <row r="66" spans="1:37" ht="24" hidden="1" customHeight="1">
      <c r="A66" s="49"/>
      <c r="B66" s="50"/>
      <c r="C66" s="243"/>
      <c r="D66" s="47" t="str">
        <f>IF('DDR3 Config'!$G$1=1,'DDR3 Spec'!D28,IF('DDR3 Config'!$G$1=2,'DDR3 Spec'!O28,IF('DDR3 Config'!$G$1=3,'DDR3 Spec'!Z28,IF('DDR3 Config'!$G$1=4,'DDR3 Spec'!AK28,'DDR3 Spec'!AV28))))</f>
        <v xml:space="preserve"> na</v>
      </c>
      <c r="E66" s="47">
        <f>IF('DDR3 Config'!$G$1=1,'DDR3 Spec'!E28,IF('DDR3 Config'!$G$1=2,'DDR3 Spec'!P28,IF('DDR3 Config'!$G$1=3,'DDR3 Spec'!AA28,IF('DDR3 Config'!$G$1=4,'DDR3 Spec'!AL28,'DDR3 Spec'!AW28))))</f>
        <v>190</v>
      </c>
      <c r="F66" s="47" t="str">
        <f>IF('DDR3 Config'!$G$1=1,'DDR3 Spec'!F28,IF('DDR3 Config'!$G$1=2,'DDR3 Spec'!Q28,IF('DDR3 Config'!$G$1=3,'DDR3 Spec'!AB28,IF('DDR3 Config'!$G$1=4,'DDR3 Spec'!AM28,'DDR3 Spec'!AX28))))</f>
        <v xml:space="preserve"> na</v>
      </c>
      <c r="G66" s="47">
        <f>IF('DDR3 Config'!$G$1=1,'DDR3 Spec'!G28,IF('DDR3 Config'!$G$1=2,'DDR3 Spec'!R28,IF('DDR3 Config'!$G$1=3,'DDR3 Spec'!AC28,IF('DDR3 Config'!$G$1=4,'DDR3 Spec'!AN28,'DDR3 Spec'!AY28))))</f>
        <v>184</v>
      </c>
      <c r="H66" s="47" t="str">
        <f>IF('DDR3 Config'!$G$1=1,'DDR3 Spec'!H28,IF('DDR3 Config'!$G$1=2,'DDR3 Spec'!S28,IF('DDR3 Config'!$G$1=3,'DDR3 Spec'!AD28,IF('DDR3 Config'!$G$1=4,'DDR3 Spec'!AO28,'DDR3 Spec'!AZ28))))</f>
        <v xml:space="preserve"> na</v>
      </c>
      <c r="I66" s="47">
        <f>IF('DDR3 Config'!$G$1=1,'DDR3 Spec'!I28,IF('DDR3 Config'!$G$1=2,'DDR3 Spec'!T28,IF('DDR3 Config'!$G$1=3,'DDR3 Spec'!AE28,IF('DDR3 Config'!$G$1=4,'DDR3 Spec'!AP28,'DDR3 Spec'!BA28))))</f>
        <v>182</v>
      </c>
      <c r="J66" s="47">
        <f>IF('DDR3 Config'!$G$1=1,'DDR3 Spec'!J28,IF('DDR3 Config'!$G$1=2,'DDR3 Spec'!U28,IF('DDR3 Config'!$G$1=3,'DDR3 Spec'!AF28,IF('DDR3 Config'!$G$1=4,'DDR3 Spec'!AQ28,'DDR3 Spec'!BB28))))</f>
        <v>181</v>
      </c>
      <c r="K66" s="47">
        <f>IF('DDR3 Config'!$G$1=1,'DDR3 Spec'!K28,IF('DDR3 Config'!$G$1=2,'DDR3 Spec'!V28,IF('DDR3 Config'!$G$1=3,'DDR3 Spec'!AG28,IF('DDR3 Config'!$G$1=4,'DDR3 Spec'!AR28,'DDR3 Spec'!BC28))))</f>
        <v>179</v>
      </c>
      <c r="L66" s="47" t="str">
        <f>IF('DDR3 Config'!$G$1=1,'DDR3 Spec'!L28,IF('DDR3 Config'!$G$1=2,'DDR3 Spec'!W28,IF('DDR3 Config'!$G$1=3,'DDR3 Spec'!AH28,IF('DDR3 Config'!$G$1=4,'DDR3 Spec'!AS28,'DDR3 Spec'!BD28))))</f>
        <v xml:space="preserve"> na</v>
      </c>
      <c r="M66" s="47" t="str">
        <f>IF('DDR3 Config'!$G$1=1,'DDR3 Spec'!M28,IF('DDR3 Config'!$G$1=2,'DDR3 Spec'!X28,IF('DDR3 Config'!$G$1=3,'DDR3 Spec'!AI28,IF('DDR3 Config'!$G$1=4,'DDR3 Spec'!AT28,'DDR3 Spec'!BE28))))</f>
        <v xml:space="preserve"> na</v>
      </c>
      <c r="N66" s="47"/>
      <c r="O66" s="47"/>
      <c r="P66" s="47"/>
      <c r="Q66" s="47"/>
      <c r="R66" s="47"/>
      <c r="S66" s="47"/>
      <c r="T66" s="47"/>
      <c r="U66" s="47"/>
      <c r="V66" s="47"/>
      <c r="W66" s="47">
        <f>HLOOKUP($W$43,$D$43:$M$77,24)</f>
        <v>182</v>
      </c>
      <c r="X66" s="47"/>
      <c r="Y66" s="47"/>
      <c r="Z66" s="47"/>
      <c r="AA66" s="47"/>
      <c r="AB66" s="47"/>
      <c r="AC66" s="47"/>
      <c r="AD66" s="47"/>
      <c r="AE66" s="47"/>
      <c r="AF66" s="47"/>
      <c r="AG66" s="47"/>
      <c r="AH66" s="47"/>
      <c r="AI66" s="47"/>
      <c r="AJ66" s="47"/>
      <c r="AK66" s="27"/>
    </row>
    <row r="67" spans="1:37" ht="24" hidden="1" customHeight="1">
      <c r="A67" s="49"/>
      <c r="B67" s="50"/>
      <c r="C67" s="49"/>
      <c r="E67"/>
      <c r="F67"/>
      <c r="G67"/>
      <c r="H67"/>
      <c r="I67"/>
      <c r="J67"/>
      <c r="K67"/>
      <c r="L67"/>
      <c r="M67"/>
      <c r="U67" s="47"/>
      <c r="X67" s="47"/>
      <c r="Y67" s="47"/>
      <c r="Z67" s="47"/>
      <c r="AA67" s="47"/>
      <c r="AB67" s="47"/>
      <c r="AC67" s="47"/>
      <c r="AD67" s="47"/>
      <c r="AE67" s="47"/>
      <c r="AF67" s="47"/>
      <c r="AG67" s="47"/>
      <c r="AH67" s="47"/>
      <c r="AI67" s="47"/>
      <c r="AJ67" s="47"/>
      <c r="AK67" s="27"/>
    </row>
    <row r="68" spans="1:37" ht="24" hidden="1" customHeight="1">
      <c r="A68" s="49"/>
      <c r="B68" s="50"/>
      <c r="C68" s="49"/>
      <c r="D68" s="47"/>
      <c r="E68" s="47"/>
      <c r="F68" s="47"/>
      <c r="G68" s="47"/>
      <c r="H68" s="47"/>
      <c r="I68" s="47"/>
      <c r="J68" s="47"/>
      <c r="K68" s="47"/>
      <c r="L68" s="47"/>
      <c r="M68" s="47"/>
      <c r="N68" s="47"/>
      <c r="O68" s="47"/>
      <c r="P68" s="47"/>
      <c r="Q68" s="47"/>
      <c r="R68" s="47"/>
      <c r="S68" s="47"/>
      <c r="T68" s="47"/>
      <c r="U68" s="47"/>
      <c r="V68" s="47"/>
      <c r="W68" s="47"/>
      <c r="X68" s="47"/>
      <c r="Y68" s="47"/>
      <c r="Z68" s="47"/>
      <c r="AA68" s="47"/>
      <c r="AB68" s="47"/>
      <c r="AC68" s="47"/>
      <c r="AD68" s="47"/>
      <c r="AE68" s="47"/>
      <c r="AF68" s="47"/>
      <c r="AG68" s="47"/>
      <c r="AH68" s="47"/>
      <c r="AI68" s="47"/>
      <c r="AJ68" s="47"/>
      <c r="AK68" s="27"/>
    </row>
    <row r="69" spans="1:37" ht="24" hidden="1" customHeight="1">
      <c r="A69" s="49"/>
      <c r="B69" s="50"/>
      <c r="C69" s="46"/>
      <c r="D69" s="47">
        <f>IF('DDR3 Config'!$G$1=1,'DDR3 Spec'!D30,IF('DDR3 Config'!$G$1=2,'DDR3 Spec'!O30,IF('DDR3 Config'!$G$1=3,'DDR3 Spec'!Z30,IF('DDR3 Config'!$G$1=4,'DDR3 Spec'!AK30,'DDR3 Spec'!AV30))))</f>
        <v>0.93799999999999994</v>
      </c>
      <c r="E69" s="47">
        <f>IF('DDR3 Config'!$G$1=1,'DDR3 Spec'!E30,IF('DDR3 Config'!$G$1=2,'DDR3 Spec'!P30,IF('DDR3 Config'!$G$1=3,'DDR3 Spec'!AA30,IF('DDR3 Config'!$G$1=4,'DDR3 Spec'!AL30,'DDR3 Spec'!AW30))))</f>
        <v>0.93799999999999994</v>
      </c>
      <c r="F69" s="47">
        <f>IF('DDR3 Config'!$G$1=1,'DDR3 Spec'!F30,IF('DDR3 Config'!$G$1=2,'DDR3 Spec'!Q30,IF('DDR3 Config'!$G$1=3,'DDR3 Spec'!AB30,IF('DDR3 Config'!$G$1=4,'DDR3 Spec'!AM30,'DDR3 Spec'!AX30))))</f>
        <v>1.07</v>
      </c>
      <c r="G69" s="47">
        <f>IF('DDR3 Config'!$G$1=1,'DDR3 Spec'!G30,IF('DDR3 Config'!$G$1=2,'DDR3 Spec'!R30,IF('DDR3 Config'!$G$1=3,'DDR3 Spec'!AC30,IF('DDR3 Config'!$G$1=4,'DDR3 Spec'!AN30,'DDR3 Spec'!AY30))))</f>
        <v>1.07</v>
      </c>
      <c r="H69" s="47">
        <f>IF('DDR3 Config'!$G$1=1,'DDR3 Spec'!H30,IF('DDR3 Config'!$G$1=2,'DDR3 Spec'!S30,IF('DDR3 Config'!$G$1=3,'DDR3 Spec'!AD30,IF('DDR3 Config'!$G$1=4,'DDR3 Spec'!AO30,'DDR3 Spec'!AZ30))))</f>
        <v>1.25</v>
      </c>
      <c r="I69" s="47">
        <f>IF('DDR3 Config'!$G$1=1,'DDR3 Spec'!I30,IF('DDR3 Config'!$G$1=2,'DDR3 Spec'!T30,IF('DDR3 Config'!$G$1=3,'DDR3 Spec'!AE30,IF('DDR3 Config'!$G$1=4,'DDR3 Spec'!AP30,'DDR3 Spec'!BA30))))</f>
        <v>1.25</v>
      </c>
      <c r="J69" s="47">
        <f>IF('DDR3 Config'!$G$1=1,'DDR3 Spec'!J30,IF('DDR3 Config'!$G$1=2,'DDR3 Spec'!U30,IF('DDR3 Config'!$G$1=3,'DDR3 Spec'!AF30,IF('DDR3 Config'!$G$1=4,'DDR3 Spec'!AQ30,'DDR3 Spec'!BB30))))</f>
        <v>1.5</v>
      </c>
      <c r="K69" s="47">
        <f>IF('DDR3 Config'!$G$1=1,'DDR3 Spec'!K30,IF('DDR3 Config'!$G$1=2,'DDR3 Spec'!V30,IF('DDR3 Config'!$G$1=3,'DDR3 Spec'!AG30,IF('DDR3 Config'!$G$1=4,'DDR3 Spec'!AR30,'DDR3 Spec'!BC30))))</f>
        <v>1.875</v>
      </c>
      <c r="L69" s="47">
        <f>IF('DDR3 Config'!$G$1=1,'DDR3 Spec'!L30,IF('DDR3 Config'!$G$1=2,'DDR3 Spec'!W30,IF('DDR3 Config'!$G$1=3,'DDR3 Spec'!AH30,IF('DDR3 Config'!$G$1=4,'DDR3 Spec'!AS30,'DDR3 Spec'!BD30))))</f>
        <v>1.875</v>
      </c>
      <c r="M69" s="47">
        <f>IF('DDR3 Config'!$G$1=1,'DDR3 Spec'!M30,IF('DDR3 Config'!$G$1=2,'DDR3 Spec'!X30,IF('DDR3 Config'!$G$1=3,'DDR3 Spec'!AI30,IF('DDR3 Config'!$G$1=4,'DDR3 Spec'!AT30,'DDR3 Spec'!BE30))))</f>
        <v>2.5</v>
      </c>
      <c r="N69" s="47"/>
      <c r="O69" s="47"/>
      <c r="P69" s="47"/>
      <c r="Q69" s="47"/>
      <c r="R69" s="47"/>
      <c r="S69" s="47"/>
      <c r="T69" s="47"/>
      <c r="U69" s="47"/>
      <c r="V69" s="47"/>
      <c r="W69" s="47">
        <f>HLOOKUP($W$43,$D$43:$M$77,27)</f>
        <v>1.25</v>
      </c>
      <c r="X69" s="47"/>
      <c r="Y69" s="47"/>
      <c r="Z69" s="47"/>
      <c r="AA69" s="47"/>
      <c r="AB69" s="47"/>
      <c r="AC69" s="47"/>
      <c r="AD69" s="47"/>
      <c r="AE69" s="47"/>
      <c r="AF69" s="47"/>
      <c r="AG69" s="47"/>
      <c r="AH69" s="47"/>
      <c r="AI69" s="47"/>
      <c r="AJ69" s="47"/>
      <c r="AK69" s="27"/>
    </row>
    <row r="70" spans="1:37" ht="24" hidden="1" customHeight="1">
      <c r="A70" s="49"/>
      <c r="B70" s="50"/>
      <c r="C70" s="252" t="s">
        <v>189</v>
      </c>
      <c r="D70" s="47">
        <f>IF('DDR3 Config'!$G$1=1,'DDR3 Spec'!D31,IF('DDR3 Config'!$G$1=2,'DDR3 Spec'!O31,IF('DDR3 Config'!$G$1=3,'DDR3 Spec'!Z31,IF('DDR3 Config'!$G$1=4,'DDR3 Spec'!AK31,'DDR3 Spec'!AV31))))</f>
        <v>6</v>
      </c>
      <c r="E70" s="47">
        <f>IF('DDR3 Config'!$G$1=1,'DDR3 Spec'!E31,IF('DDR3 Config'!$G$1=2,'DDR3 Spec'!P31,IF('DDR3 Config'!$G$1=3,'DDR3 Spec'!AA31,IF('DDR3 Config'!$G$1=4,'DDR3 Spec'!AL31,'DDR3 Spec'!AW31))))</f>
        <v>6</v>
      </c>
      <c r="F70" s="47">
        <f>IF('DDR3 Config'!$G$1=1,'DDR3 Spec'!F31,IF('DDR3 Config'!$G$1=2,'DDR3 Spec'!Q31,IF('DDR3 Config'!$G$1=3,'DDR3 Spec'!AB31,IF('DDR3 Config'!$G$1=4,'DDR3 Spec'!AM31,'DDR3 Spec'!AX31))))</f>
        <v>6</v>
      </c>
      <c r="G70" s="47">
        <f>IF('DDR3 Config'!$G$1=1,'DDR3 Spec'!G31,IF('DDR3 Config'!$G$1=2,'DDR3 Spec'!R31,IF('DDR3 Config'!$G$1=3,'DDR3 Spec'!AC31,IF('DDR3 Config'!$G$1=4,'DDR3 Spec'!AN31,'DDR3 Spec'!AY31))))</f>
        <v>6</v>
      </c>
      <c r="H70" s="47">
        <f>IF('DDR3 Config'!$G$1=1,'DDR3 Spec'!H31,IF('DDR3 Config'!$G$1=2,'DDR3 Spec'!S31,IF('DDR3 Config'!$G$1=3,'DDR3 Spec'!AD31,IF('DDR3 Config'!$G$1=4,'DDR3 Spec'!AO31,'DDR3 Spec'!AZ31))))</f>
        <v>6</v>
      </c>
      <c r="I70" s="47">
        <f>IF('DDR3 Config'!$G$1=1,'DDR3 Spec'!I31,IF('DDR3 Config'!$G$1=2,'DDR3 Spec'!T31,IF('DDR3 Config'!$G$1=3,'DDR3 Spec'!AE31,IF('DDR3 Config'!$G$1=4,'DDR3 Spec'!AP31,'DDR3 Spec'!BA31))))</f>
        <v>6</v>
      </c>
      <c r="J70" s="47">
        <f>IF('DDR3 Config'!$G$1=1,'DDR3 Spec'!J31,IF('DDR3 Config'!$G$1=2,'DDR3 Spec'!U31,IF('DDR3 Config'!$G$1=3,'DDR3 Spec'!AF31,IF('DDR3 Config'!$G$1=4,'DDR3 Spec'!AQ31,'DDR3 Spec'!BB31))))</f>
        <v>6</v>
      </c>
      <c r="K70" s="47">
        <f>IF('DDR3 Config'!$G$1=1,'DDR3 Spec'!K31,IF('DDR3 Config'!$G$1=2,'DDR3 Spec'!V31,IF('DDR3 Config'!$G$1=3,'DDR3 Spec'!AG31,IF('DDR3 Config'!$G$1=4,'DDR3 Spec'!AR31,'DDR3 Spec'!BC31))))</f>
        <v>7.5</v>
      </c>
      <c r="L70" s="47">
        <f>IF('DDR3 Config'!$G$1=1,'DDR3 Spec'!L31,IF('DDR3 Config'!$G$1=2,'DDR3 Spec'!W31,IF('DDR3 Config'!$G$1=3,'DDR3 Spec'!AH31,IF('DDR3 Config'!$G$1=4,'DDR3 Spec'!AS31,'DDR3 Spec'!BD31))))</f>
        <v>7.5</v>
      </c>
      <c r="M70" s="47">
        <f>IF('DDR3 Config'!$G$1=1,'DDR3 Spec'!M31,IF('DDR3 Config'!$G$1=2,'DDR3 Spec'!X31,IF('DDR3 Config'!$G$1=3,'DDR3 Spec'!AI31,IF('DDR3 Config'!$G$1=4,'DDR3 Spec'!AT31,'DDR3 Spec'!BE31))))</f>
        <v>10</v>
      </c>
      <c r="N70" s="47"/>
      <c r="O70" s="47"/>
      <c r="P70" s="47"/>
      <c r="Q70" s="47"/>
      <c r="R70" s="47"/>
      <c r="S70" s="47"/>
      <c r="T70" s="47"/>
      <c r="U70" s="47"/>
      <c r="V70" s="47"/>
      <c r="W70" s="47">
        <f>HLOOKUP($W$43,$D$43:$M$77,28)</f>
        <v>6</v>
      </c>
      <c r="X70" s="47"/>
      <c r="Y70" s="47"/>
      <c r="Z70" s="47"/>
      <c r="AA70" s="47"/>
      <c r="AB70" s="47"/>
      <c r="AC70" s="47"/>
      <c r="AD70" s="47"/>
      <c r="AE70" s="47"/>
      <c r="AF70" s="47"/>
      <c r="AG70" s="47"/>
      <c r="AH70" s="47"/>
      <c r="AI70" s="47"/>
      <c r="AJ70" s="47"/>
      <c r="AK70" s="27"/>
    </row>
    <row r="71" spans="1:37" ht="24" hidden="1" customHeight="1">
      <c r="A71" s="49"/>
      <c r="B71" s="50"/>
      <c r="C71" s="253"/>
      <c r="D71" s="47">
        <f>IF('DDR3 Config'!$G$1=1,'DDR3 Spec'!D32,IF('DDR3 Config'!$G$1=2,'DDR3 Spec'!O32,IF('DDR3 Config'!$G$1=3,'DDR3 Spec'!Z32,IF('DDR3 Config'!$G$1=4,'DDR3 Spec'!AK32,'DDR3 Spec'!AV32))))</f>
        <v>7.5</v>
      </c>
      <c r="E71" s="47">
        <f>IF('DDR3 Config'!$G$1=1,'DDR3 Spec'!E32,IF('DDR3 Config'!$G$1=2,'DDR3 Spec'!P32,IF('DDR3 Config'!$G$1=3,'DDR3 Spec'!AA32,IF('DDR3 Config'!$G$1=4,'DDR3 Spec'!AL32,'DDR3 Spec'!AW32))))</f>
        <v>7.5</v>
      </c>
      <c r="F71" s="47">
        <f>IF('DDR3 Config'!$G$1=1,'DDR3 Spec'!F32,IF('DDR3 Config'!$G$1=2,'DDR3 Spec'!Q32,IF('DDR3 Config'!$G$1=3,'DDR3 Spec'!AB32,IF('DDR3 Config'!$G$1=4,'DDR3 Spec'!AM32,'DDR3 Spec'!AX32))))</f>
        <v>7.5</v>
      </c>
      <c r="G71" s="47">
        <f>IF('DDR3 Config'!$G$1=1,'DDR3 Spec'!G32,IF('DDR3 Config'!$G$1=2,'DDR3 Spec'!R32,IF('DDR3 Config'!$G$1=3,'DDR3 Spec'!AC32,IF('DDR3 Config'!$G$1=4,'DDR3 Spec'!AN32,'DDR3 Spec'!AY32))))</f>
        <v>7.5</v>
      </c>
      <c r="H71" s="47">
        <f>IF('DDR3 Config'!$G$1=1,'DDR3 Spec'!H32,IF('DDR3 Config'!$G$1=2,'DDR3 Spec'!S32,IF('DDR3 Config'!$G$1=3,'DDR3 Spec'!AD32,IF('DDR3 Config'!$G$1=4,'DDR3 Spec'!AO32,'DDR3 Spec'!AZ32))))</f>
        <v>7.5</v>
      </c>
      <c r="I71" s="47">
        <f>IF('DDR3 Config'!$G$1=1,'DDR3 Spec'!I32,IF('DDR3 Config'!$G$1=2,'DDR3 Spec'!T32,IF('DDR3 Config'!$G$1=3,'DDR3 Spec'!AE32,IF('DDR3 Config'!$G$1=4,'DDR3 Spec'!AP32,'DDR3 Spec'!BA32))))</f>
        <v>7.5</v>
      </c>
      <c r="J71" s="47">
        <f>IF('DDR3 Config'!$G$1=1,'DDR3 Spec'!J32,IF('DDR3 Config'!$G$1=2,'DDR3 Spec'!U32,IF('DDR3 Config'!$G$1=3,'DDR3 Spec'!AF32,IF('DDR3 Config'!$G$1=4,'DDR3 Spec'!AQ32,'DDR3 Spec'!BB32))))</f>
        <v>7.5</v>
      </c>
      <c r="K71" s="47">
        <f>IF('DDR3 Config'!$G$1=1,'DDR3 Spec'!K32,IF('DDR3 Config'!$G$1=2,'DDR3 Spec'!V32,IF('DDR3 Config'!$G$1=3,'DDR3 Spec'!AG32,IF('DDR3 Config'!$G$1=4,'DDR3 Spec'!AR32,'DDR3 Spec'!BC32))))</f>
        <v>10</v>
      </c>
      <c r="L71" s="47">
        <f>IF('DDR3 Config'!$G$1=1,'DDR3 Spec'!L32,IF('DDR3 Config'!$G$1=2,'DDR3 Spec'!W32,IF('DDR3 Config'!$G$1=3,'DDR3 Spec'!AH32,IF('DDR3 Config'!$G$1=4,'DDR3 Spec'!AS32,'DDR3 Spec'!BD32))))</f>
        <v>10</v>
      </c>
      <c r="M71" s="47">
        <f>IF('DDR3 Config'!$G$1=1,'DDR3 Spec'!M32,IF('DDR3 Config'!$G$1=2,'DDR3 Spec'!X32,IF('DDR3 Config'!$G$1=3,'DDR3 Spec'!AI32,IF('DDR3 Config'!$G$1=4,'DDR3 Spec'!AT32,'DDR3 Spec'!BE32))))</f>
        <v>10</v>
      </c>
      <c r="N71" s="47"/>
      <c r="O71" s="47"/>
      <c r="P71" s="47"/>
      <c r="Q71" s="47"/>
      <c r="R71" s="47"/>
      <c r="S71" s="47"/>
      <c r="T71" s="47"/>
      <c r="U71" s="47"/>
      <c r="V71" s="47"/>
      <c r="W71" s="47">
        <f>HLOOKUP($W$43,$D$43:$M$77,29)</f>
        <v>7.5</v>
      </c>
      <c r="X71" s="47"/>
      <c r="Y71" s="47"/>
      <c r="Z71" s="47"/>
      <c r="AA71" s="47"/>
      <c r="AB71" s="47"/>
      <c r="AC71" s="47"/>
      <c r="AD71" s="47"/>
      <c r="AE71" s="47"/>
      <c r="AF71" s="47"/>
      <c r="AG71" s="47"/>
      <c r="AH71" s="47"/>
      <c r="AI71" s="47"/>
      <c r="AJ71" s="47"/>
      <c r="AK71" s="27"/>
    </row>
    <row r="72" spans="1:37" ht="24" hidden="1" customHeight="1">
      <c r="A72" s="49"/>
      <c r="B72" s="50"/>
      <c r="C72" s="68" t="s">
        <v>190</v>
      </c>
      <c r="D72" s="47">
        <f>IF('DDR3 Config'!$G$1=1,'DDR3 Spec'!D33,IF('DDR3 Config'!$G$1=2,'DDR3 Spec'!O33,IF('DDR3 Config'!$G$1=3,'DDR3 Spec'!Z33,IF('DDR3 Config'!$G$1=4,'DDR3 Spec'!AK33,'DDR3 Spec'!AV33))))</f>
        <v>45.155000000000001</v>
      </c>
      <c r="E72" s="47">
        <f>IF('DDR3 Config'!$G$1=1,'DDR3 Spec'!E33,IF('DDR3 Config'!$G$1=2,'DDR3 Spec'!P33,IF('DDR3 Config'!$G$1=3,'DDR3 Spec'!AA33,IF('DDR3 Config'!$G$1=4,'DDR3 Spec'!AL33,'DDR3 Spec'!AW33))))</f>
        <v>46.09</v>
      </c>
      <c r="F72" s="47">
        <f>IF('DDR3 Config'!$G$1=1,'DDR3 Spec'!F33,IF('DDR3 Config'!$G$1=2,'DDR3 Spec'!Q33,IF('DDR3 Config'!$G$1=3,'DDR3 Spec'!AB33,IF('DDR3 Config'!$G$1=4,'DDR3 Spec'!AM33,'DDR3 Spec'!AX33))))</f>
        <v>46.84</v>
      </c>
      <c r="G72" s="47">
        <f>IF('DDR3 Config'!$G$1=1,'DDR3 Spec'!G33,IF('DDR3 Config'!$G$1=2,'DDR3 Spec'!R33,IF('DDR3 Config'!$G$1=3,'DDR3 Spec'!AC33,IF('DDR3 Config'!$G$1=4,'DDR3 Spec'!AN33,'DDR3 Spec'!AY33))))</f>
        <v>47.91</v>
      </c>
      <c r="H72" s="47">
        <f>IF('DDR3 Config'!$G$1=1,'DDR3 Spec'!H33,IF('DDR3 Config'!$G$1=2,'DDR3 Spec'!S33,IF('DDR3 Config'!$G$1=3,'DDR3 Spec'!AD33,IF('DDR3 Config'!$G$1=4,'DDR3 Spec'!AO33,'DDR3 Spec'!AZ33))))</f>
        <v>47.5</v>
      </c>
      <c r="I72" s="47">
        <f>IF('DDR3 Config'!$G$1=1,'DDR3 Spec'!I33,IF('DDR3 Config'!$G$1=2,'DDR3 Spec'!T33,IF('DDR3 Config'!$G$1=3,'DDR3 Spec'!AE33,IF('DDR3 Config'!$G$1=4,'DDR3 Spec'!AP33,'DDR3 Spec'!BA33))))</f>
        <v>48.75</v>
      </c>
      <c r="J72" s="47">
        <f>IF('DDR3 Config'!$G$1=1,'DDR3 Spec'!J33,IF('DDR3 Config'!$G$1=2,'DDR3 Spec'!U33,IF('DDR3 Config'!$G$1=3,'DDR3 Spec'!AF33,IF('DDR3 Config'!$G$1=4,'DDR3 Spec'!AQ33,'DDR3 Spec'!BB33))))</f>
        <v>49.5</v>
      </c>
      <c r="K72" s="47">
        <f>IF('DDR3 Config'!$G$1=1,'DDR3 Spec'!K33,IF('DDR3 Config'!$G$1=2,'DDR3 Spec'!V33,IF('DDR3 Config'!$G$1=3,'DDR3 Spec'!AG33,IF('DDR3 Config'!$G$1=4,'DDR3 Spec'!AR33,'DDR3 Spec'!BC33))))</f>
        <v>50.625</v>
      </c>
      <c r="L72" s="47">
        <f>IF('DDR3 Config'!$G$1=1,'DDR3 Spec'!L33,IF('DDR3 Config'!$G$1=2,'DDR3 Spec'!W33,IF('DDR3 Config'!$G$1=3,'DDR3 Spec'!AH33,IF('DDR3 Config'!$G$1=4,'DDR3 Spec'!AS33,'DDR3 Spec'!BD33))))</f>
        <v>52.5</v>
      </c>
      <c r="M72" s="47">
        <f>IF('DDR3 Config'!$G$1=1,'DDR3 Spec'!M33,IF('DDR3 Config'!$G$1=2,'DDR3 Spec'!X33,IF('DDR3 Config'!$G$1=3,'DDR3 Spec'!AI33,IF('DDR3 Config'!$G$1=4,'DDR3 Spec'!AT33,'DDR3 Spec'!BE33))))</f>
        <v>52.5</v>
      </c>
      <c r="N72" s="47"/>
      <c r="O72" s="47"/>
      <c r="P72" s="47"/>
      <c r="Q72" s="47"/>
      <c r="R72" s="47"/>
      <c r="S72" s="47"/>
      <c r="T72" s="47"/>
      <c r="U72" s="47"/>
      <c r="V72" s="47"/>
      <c r="W72" s="47">
        <f>HLOOKUP($W$43,$D$43:$M$77,30)</f>
        <v>48.75</v>
      </c>
      <c r="X72" s="47"/>
      <c r="Y72" s="47"/>
      <c r="Z72" s="47"/>
      <c r="AA72" s="47"/>
      <c r="AB72" s="47"/>
      <c r="AC72" s="47"/>
      <c r="AD72" s="47"/>
      <c r="AE72" s="47"/>
      <c r="AF72" s="47"/>
      <c r="AG72" s="47"/>
      <c r="AH72" s="47"/>
      <c r="AI72" s="47"/>
      <c r="AJ72" s="47"/>
      <c r="AK72" s="27"/>
    </row>
    <row r="73" spans="1:37" ht="24" hidden="1" customHeight="1">
      <c r="A73" s="49"/>
      <c r="B73" s="50"/>
      <c r="C73" s="68" t="s">
        <v>191</v>
      </c>
      <c r="D73" s="47">
        <f>IF('DDR3 Config'!$G$1=1,'DDR3 Spec'!D34,IF('DDR3 Config'!$G$1=2,'DDR3 Spec'!O34,IF('DDR3 Config'!$G$1=3,'DDR3 Spec'!Z34,IF('DDR3 Config'!$G$1=4,'DDR3 Spec'!AK34,'DDR3 Spec'!AV34))))</f>
        <v>36</v>
      </c>
      <c r="E73" s="47">
        <f>IF('DDR3 Config'!$G$1=1,'DDR3 Spec'!E34,IF('DDR3 Config'!$G$1=2,'DDR3 Spec'!P34,IF('DDR3 Config'!$G$1=3,'DDR3 Spec'!AA34,IF('DDR3 Config'!$G$1=4,'DDR3 Spec'!AL34,'DDR3 Spec'!AW34))))</f>
        <v>36</v>
      </c>
      <c r="F73" s="47">
        <f>IF('DDR3 Config'!$G$1=1,'DDR3 Spec'!F34,IF('DDR3 Config'!$G$1=2,'DDR3 Spec'!Q34,IF('DDR3 Config'!$G$1=3,'DDR3 Spec'!AB34,IF('DDR3 Config'!$G$1=4,'DDR3 Spec'!AM34,'DDR3 Spec'!AX34))))</f>
        <v>34</v>
      </c>
      <c r="G73" s="47">
        <f>IF('DDR3 Config'!$G$1=1,'DDR3 Spec'!G34,IF('DDR3 Config'!$G$1=2,'DDR3 Spec'!R34,IF('DDR3 Config'!$G$1=3,'DDR3 Spec'!AC34,IF('DDR3 Config'!$G$1=4,'DDR3 Spec'!AN34,'DDR3 Spec'!AY34))))</f>
        <v>34</v>
      </c>
      <c r="H73" s="47">
        <f>IF('DDR3 Config'!$G$1=1,'DDR3 Spec'!H34,IF('DDR3 Config'!$G$1=2,'DDR3 Spec'!S34,IF('DDR3 Config'!$G$1=3,'DDR3 Spec'!AD34,IF('DDR3 Config'!$G$1=4,'DDR3 Spec'!AO34,'DDR3 Spec'!AZ34))))</f>
        <v>35</v>
      </c>
      <c r="I73" s="47">
        <f>IF('DDR3 Config'!$G$1=1,'DDR3 Spec'!I34,IF('DDR3 Config'!$G$1=2,'DDR3 Spec'!T34,IF('DDR3 Config'!$G$1=3,'DDR3 Spec'!AE34,IF('DDR3 Config'!$G$1=4,'DDR3 Spec'!AP34,'DDR3 Spec'!BA34))))</f>
        <v>35</v>
      </c>
      <c r="J73" s="47">
        <f>IF('DDR3 Config'!$G$1=1,'DDR3 Spec'!J34,IF('DDR3 Config'!$G$1=2,'DDR3 Spec'!U34,IF('DDR3 Config'!$G$1=3,'DDR3 Spec'!AF34,IF('DDR3 Config'!$G$1=4,'DDR3 Spec'!AQ34,'DDR3 Spec'!BB34))))</f>
        <v>36</v>
      </c>
      <c r="K73" s="47">
        <f>IF('DDR3 Config'!$G$1=1,'DDR3 Spec'!K34,IF('DDR3 Config'!$G$1=2,'DDR3 Spec'!V34,IF('DDR3 Config'!$G$1=3,'DDR3 Spec'!AG34,IF('DDR3 Config'!$G$1=4,'DDR3 Spec'!AR34,'DDR3 Spec'!BC34))))</f>
        <v>37.5</v>
      </c>
      <c r="L73" s="47">
        <f>IF('DDR3 Config'!$G$1=1,'DDR3 Spec'!L34,IF('DDR3 Config'!$G$1=2,'DDR3 Spec'!W34,IF('DDR3 Config'!$G$1=3,'DDR3 Spec'!AH34,IF('DDR3 Config'!$G$1=4,'DDR3 Spec'!AS34,'DDR3 Spec'!BD34))))</f>
        <v>37.5</v>
      </c>
      <c r="M73" s="47">
        <f>IF('DDR3 Config'!$G$1=1,'DDR3 Spec'!M34,IF('DDR3 Config'!$G$1=2,'DDR3 Spec'!X34,IF('DDR3 Config'!$G$1=3,'DDR3 Spec'!AI34,IF('DDR3 Config'!$G$1=4,'DDR3 Spec'!AT34,'DDR3 Spec'!BE34))))</f>
        <v>37.5</v>
      </c>
      <c r="N73" s="47"/>
      <c r="O73" s="47"/>
      <c r="P73" s="47"/>
      <c r="Q73" s="47"/>
      <c r="R73" s="47"/>
      <c r="S73" s="47"/>
      <c r="T73" s="47"/>
      <c r="U73" s="47"/>
      <c r="V73" s="47"/>
      <c r="W73" s="47">
        <f>HLOOKUP($W$43,$D$43:$M$77,31)</f>
        <v>35</v>
      </c>
      <c r="X73" s="47"/>
      <c r="Y73" s="47"/>
      <c r="Z73" s="47"/>
      <c r="AA73" s="47"/>
      <c r="AB73" s="47"/>
      <c r="AC73" s="47"/>
      <c r="AD73" s="47"/>
      <c r="AE73" s="47"/>
      <c r="AF73" s="47"/>
      <c r="AG73" s="47"/>
      <c r="AH73" s="47"/>
      <c r="AI73" s="47"/>
      <c r="AJ73" s="47"/>
      <c r="AK73" s="27"/>
    </row>
    <row r="74" spans="1:37" ht="24" hidden="1" customHeight="1">
      <c r="A74" s="49"/>
      <c r="B74" s="50"/>
      <c r="C74" s="68" t="s">
        <v>193</v>
      </c>
      <c r="D74" s="47">
        <f>IF('DDR3 Config'!$G$1=1,'DDR3 Spec'!D35,IF('DDR3 Config'!$G$1=2,'DDR3 Spec'!O35,IF('DDR3 Config'!$G$1=3,'DDR3 Spec'!Z35,IF('DDR3 Config'!$G$1=4,'DDR3 Spec'!AK35,'DDR3 Spec'!AV35))))</f>
        <v>160</v>
      </c>
      <c r="E74" s="47">
        <f>IF('DDR3 Config'!$G$1=1,'DDR3 Spec'!E35,IF('DDR3 Config'!$G$1=2,'DDR3 Spec'!P35,IF('DDR3 Config'!$G$1=3,'DDR3 Spec'!AA35,IF('DDR3 Config'!$G$1=4,'DDR3 Spec'!AL35,'DDR3 Spec'!AW35))))</f>
        <v>160</v>
      </c>
      <c r="F74" s="47">
        <f>IF('DDR3 Config'!$G$1=1,'DDR3 Spec'!F35,IF('DDR3 Config'!$G$1=2,'DDR3 Spec'!Q35,IF('DDR3 Config'!$G$1=3,'DDR3 Spec'!AB35,IF('DDR3 Config'!$G$1=4,'DDR3 Spec'!AM35,'DDR3 Spec'!AX35))))</f>
        <v>160</v>
      </c>
      <c r="G74" s="47">
        <f>IF('DDR3 Config'!$G$1=1,'DDR3 Spec'!G35,IF('DDR3 Config'!$G$1=2,'DDR3 Spec'!R35,IF('DDR3 Config'!$G$1=3,'DDR3 Spec'!AC35,IF('DDR3 Config'!$G$1=4,'DDR3 Spec'!AN35,'DDR3 Spec'!AY35))))</f>
        <v>160</v>
      </c>
      <c r="H74" s="47">
        <f>IF('DDR3 Config'!$G$1=1,'DDR3 Spec'!H35,IF('DDR3 Config'!$G$1=2,'DDR3 Spec'!S35,IF('DDR3 Config'!$G$1=3,'DDR3 Spec'!AD35,IF('DDR3 Config'!$G$1=4,'DDR3 Spec'!AO35,'DDR3 Spec'!AZ35))))</f>
        <v>160</v>
      </c>
      <c r="I74" s="47">
        <f>IF('DDR3 Config'!$G$1=1,'DDR3 Spec'!I35,IF('DDR3 Config'!$G$1=2,'DDR3 Spec'!T35,IF('DDR3 Config'!$G$1=3,'DDR3 Spec'!AE35,IF('DDR3 Config'!$G$1=4,'DDR3 Spec'!AP35,'DDR3 Spec'!BA35))))</f>
        <v>160</v>
      </c>
      <c r="J74" s="47">
        <f>IF('DDR3 Config'!$G$1=1,'DDR3 Spec'!J35,IF('DDR3 Config'!$G$1=2,'DDR3 Spec'!U35,IF('DDR3 Config'!$G$1=3,'DDR3 Spec'!AF35,IF('DDR3 Config'!$G$1=4,'DDR3 Spec'!AQ35,'DDR3 Spec'!BB35))))</f>
        <v>160</v>
      </c>
      <c r="K74" s="47">
        <f>IF('DDR3 Config'!$G$1=1,'DDR3 Spec'!K35,IF('DDR3 Config'!$G$1=2,'DDR3 Spec'!V35,IF('DDR3 Config'!$G$1=3,'DDR3 Spec'!AG35,IF('DDR3 Config'!$G$1=4,'DDR3 Spec'!AR35,'DDR3 Spec'!BC35))))</f>
        <v>160</v>
      </c>
      <c r="L74" s="47">
        <f>IF('DDR3 Config'!$G$1=1,'DDR3 Spec'!L35,IF('DDR3 Config'!$G$1=2,'DDR3 Spec'!W35,IF('DDR3 Config'!$G$1=3,'DDR3 Spec'!AH35,IF('DDR3 Config'!$G$1=4,'DDR3 Spec'!AS35,'DDR3 Spec'!BD35))))</f>
        <v>160</v>
      </c>
      <c r="M74" s="47">
        <f>IF('DDR3 Config'!$G$1=1,'DDR3 Spec'!M35,IF('DDR3 Config'!$G$1=2,'DDR3 Spec'!X35,IF('DDR3 Config'!$G$1=3,'DDR3 Spec'!AI35,IF('DDR3 Config'!$G$1=4,'DDR3 Spec'!AT35,'DDR3 Spec'!BE35))))</f>
        <v>160</v>
      </c>
      <c r="N74" s="47"/>
      <c r="O74" s="47"/>
      <c r="P74" s="47"/>
      <c r="Q74" s="47"/>
      <c r="R74" s="47"/>
      <c r="S74" s="47"/>
      <c r="T74" s="47"/>
      <c r="U74" s="47"/>
      <c r="V74" s="47"/>
      <c r="W74" s="47">
        <f>HLOOKUP($W$43,$D$43:$M$77,32)</f>
        <v>160</v>
      </c>
      <c r="X74" s="47"/>
      <c r="Y74" s="47"/>
      <c r="Z74" s="47"/>
      <c r="AA74" s="47"/>
      <c r="AB74" s="47"/>
      <c r="AC74" s="47"/>
      <c r="AD74" s="47"/>
      <c r="AE74" s="47"/>
      <c r="AF74" s="47"/>
      <c r="AG74" s="47"/>
      <c r="AH74" s="47"/>
      <c r="AI74" s="47"/>
      <c r="AJ74" s="47"/>
      <c r="AK74" s="27"/>
    </row>
    <row r="75" spans="1:37" ht="24" hidden="1" customHeight="1">
      <c r="A75" s="49"/>
      <c r="B75" s="50"/>
      <c r="C75" s="68" t="s">
        <v>194</v>
      </c>
      <c r="D75" s="47">
        <f>IF('DDR3 Config'!$G$1=1,'DDR3 Spec'!D36,IF('DDR3 Config'!$G$1=2,'DDR3 Spec'!O36,IF('DDR3 Config'!$G$1=3,'DDR3 Spec'!Z36,IF('DDR3 Config'!$G$1=4,'DDR3 Spec'!AK36,'DDR3 Spec'!AV36))))</f>
        <v>7.8</v>
      </c>
      <c r="E75" s="47">
        <f>IF('DDR3 Config'!$G$1=1,'DDR3 Spec'!E36,IF('DDR3 Config'!$G$1=2,'DDR3 Spec'!P36,IF('DDR3 Config'!$G$1=3,'DDR3 Spec'!AA36,IF('DDR3 Config'!$G$1=4,'DDR3 Spec'!AL36,'DDR3 Spec'!AW36))))</f>
        <v>7.8</v>
      </c>
      <c r="F75" s="47">
        <f>IF('DDR3 Config'!$G$1=1,'DDR3 Spec'!F36,IF('DDR3 Config'!$G$1=2,'DDR3 Spec'!Q36,IF('DDR3 Config'!$G$1=3,'DDR3 Spec'!AB36,IF('DDR3 Config'!$G$1=4,'DDR3 Spec'!AM36,'DDR3 Spec'!AX36))))</f>
        <v>7.8</v>
      </c>
      <c r="G75" s="47">
        <f>IF('DDR3 Config'!$G$1=1,'DDR3 Spec'!G36,IF('DDR3 Config'!$G$1=2,'DDR3 Spec'!R36,IF('DDR3 Config'!$G$1=3,'DDR3 Spec'!AC36,IF('DDR3 Config'!$G$1=4,'DDR3 Spec'!AN36,'DDR3 Spec'!AY36))))</f>
        <v>7.8</v>
      </c>
      <c r="H75" s="47">
        <f>IF('DDR3 Config'!$G$1=1,'DDR3 Spec'!H36,IF('DDR3 Config'!$G$1=2,'DDR3 Spec'!S36,IF('DDR3 Config'!$G$1=3,'DDR3 Spec'!AD36,IF('DDR3 Config'!$G$1=4,'DDR3 Spec'!AO36,'DDR3 Spec'!AZ36))))</f>
        <v>7.8</v>
      </c>
      <c r="I75" s="47">
        <f>IF('DDR3 Config'!$G$1=1,'DDR3 Spec'!I36,IF('DDR3 Config'!$G$1=2,'DDR3 Spec'!T36,IF('DDR3 Config'!$G$1=3,'DDR3 Spec'!AE36,IF('DDR3 Config'!$G$1=4,'DDR3 Spec'!AP36,'DDR3 Spec'!BA36))))</f>
        <v>7.8</v>
      </c>
      <c r="J75" s="47">
        <f>IF('DDR3 Config'!$G$1=1,'DDR3 Spec'!J36,IF('DDR3 Config'!$G$1=2,'DDR3 Spec'!U36,IF('DDR3 Config'!$G$1=3,'DDR3 Spec'!AF36,IF('DDR3 Config'!$G$1=4,'DDR3 Spec'!AQ36,'DDR3 Spec'!BB36))))</f>
        <v>7.8</v>
      </c>
      <c r="K75" s="47">
        <f>IF('DDR3 Config'!$G$1=1,'DDR3 Spec'!K36,IF('DDR3 Config'!$G$1=2,'DDR3 Spec'!V36,IF('DDR3 Config'!$G$1=3,'DDR3 Spec'!AG36,IF('DDR3 Config'!$G$1=4,'DDR3 Spec'!AR36,'DDR3 Spec'!BC36))))</f>
        <v>7.8</v>
      </c>
      <c r="L75" s="47">
        <f>IF('DDR3 Config'!$G$1=1,'DDR3 Spec'!L36,IF('DDR3 Config'!$G$1=2,'DDR3 Spec'!W36,IF('DDR3 Config'!$G$1=3,'DDR3 Spec'!AH36,IF('DDR3 Config'!$G$1=4,'DDR3 Spec'!AS36,'DDR3 Spec'!BD36))))</f>
        <v>7.8</v>
      </c>
      <c r="M75" s="47">
        <f>IF('DDR3 Config'!$G$1=1,'DDR3 Spec'!M36,IF('DDR3 Config'!$G$1=2,'DDR3 Spec'!X36,IF('DDR3 Config'!$G$1=3,'DDR3 Spec'!AI36,IF('DDR3 Config'!$G$1=4,'DDR3 Spec'!AT36,'DDR3 Spec'!BE36))))</f>
        <v>7.8</v>
      </c>
      <c r="N75" s="47"/>
      <c r="O75" s="47"/>
      <c r="P75" s="47"/>
      <c r="Q75" s="47"/>
      <c r="R75" s="47"/>
      <c r="S75" s="47"/>
      <c r="T75" s="47"/>
      <c r="U75" s="47"/>
      <c r="V75" s="47"/>
      <c r="W75" s="47">
        <f>HLOOKUP($W$43,$D$43:$M$77,33)</f>
        <v>7.8</v>
      </c>
      <c r="X75" s="47"/>
      <c r="Y75" s="47"/>
      <c r="Z75" s="47"/>
      <c r="AA75" s="47"/>
      <c r="AB75" s="47"/>
      <c r="AC75" s="47"/>
      <c r="AD75" s="47"/>
      <c r="AE75" s="47"/>
      <c r="AF75" s="47"/>
      <c r="AG75" s="47"/>
      <c r="AH75" s="47"/>
      <c r="AI75" s="47"/>
      <c r="AJ75" s="47"/>
      <c r="AK75" s="27"/>
    </row>
    <row r="76" spans="1:37" ht="24" hidden="1" customHeight="1">
      <c r="A76" s="49"/>
      <c r="B76" s="50"/>
      <c r="C76" s="68" t="s">
        <v>195</v>
      </c>
      <c r="D76" s="47">
        <f>IF('DDR3 Config'!$G$1=1,'DDR3 Spec'!D37,IF('DDR3 Config'!$G$1=2,'DDR3 Spec'!O37,IF('DDR3 Config'!$G$1=3,'DDR3 Spec'!Z37,IF('DDR3 Config'!$G$1=4,'DDR3 Spec'!AK37,'DDR3 Spec'!AV37))))</f>
        <v>0.93799999999999994</v>
      </c>
      <c r="E76" s="47">
        <f>IF('DDR3 Config'!$G$1=1,'DDR3 Spec'!E37,IF('DDR3 Config'!$G$1=2,'DDR3 Spec'!P37,IF('DDR3 Config'!$G$1=3,'DDR3 Spec'!AA37,IF('DDR3 Config'!$G$1=4,'DDR3 Spec'!AL37,'DDR3 Spec'!AW37))))</f>
        <v>0.93799999999999994</v>
      </c>
      <c r="F76" s="47">
        <f>IF('DDR3 Config'!$G$1=1,'DDR3 Spec'!F37,IF('DDR3 Config'!$G$1=2,'DDR3 Spec'!Q37,IF('DDR3 Config'!$G$1=3,'DDR3 Spec'!AB37,IF('DDR3 Config'!$G$1=4,'DDR3 Spec'!AM37,'DDR3 Spec'!AX37))))</f>
        <v>1.07</v>
      </c>
      <c r="G76" s="47">
        <f>IF('DDR3 Config'!$G$1=1,'DDR3 Spec'!G37,IF('DDR3 Config'!$G$1=2,'DDR3 Spec'!R37,IF('DDR3 Config'!$G$1=3,'DDR3 Spec'!AC37,IF('DDR3 Config'!$G$1=4,'DDR3 Spec'!AN37,'DDR3 Spec'!AY37))))</f>
        <v>1.07</v>
      </c>
      <c r="H76" s="47">
        <f>IF('DDR3 Config'!$G$1=1,'DDR3 Spec'!H37,IF('DDR3 Config'!$G$1=2,'DDR3 Spec'!S37,IF('DDR3 Config'!$G$1=3,'DDR3 Spec'!AD37,IF('DDR3 Config'!$G$1=4,'DDR3 Spec'!AO37,'DDR3 Spec'!AZ37))))</f>
        <v>1.25</v>
      </c>
      <c r="I76" s="47">
        <f>IF('DDR3 Config'!$G$1=1,'DDR3 Spec'!I37,IF('DDR3 Config'!$G$1=2,'DDR3 Spec'!T37,IF('DDR3 Config'!$G$1=3,'DDR3 Spec'!AE37,IF('DDR3 Config'!$G$1=4,'DDR3 Spec'!AP37,'DDR3 Spec'!BA37))))</f>
        <v>1.25</v>
      </c>
      <c r="J76" s="47">
        <f>IF('DDR3 Config'!$G$1=1,'DDR3 Spec'!J37,IF('DDR3 Config'!$G$1=2,'DDR3 Spec'!U37,IF('DDR3 Config'!$G$1=3,'DDR3 Spec'!AF37,IF('DDR3 Config'!$G$1=4,'DDR3 Spec'!AQ37,'DDR3 Spec'!BB37))))</f>
        <v>1.5</v>
      </c>
      <c r="K76" s="47">
        <f>IF('DDR3 Config'!$G$1=1,'DDR3 Spec'!K37,IF('DDR3 Config'!$G$1=2,'DDR3 Spec'!V37,IF('DDR3 Config'!$G$1=3,'DDR3 Spec'!AG37,IF('DDR3 Config'!$G$1=4,'DDR3 Spec'!AR37,'DDR3 Spec'!BC37))))</f>
        <v>1.875</v>
      </c>
      <c r="L76" s="47">
        <f>IF('DDR3 Config'!$G$1=1,'DDR3 Spec'!L37,IF('DDR3 Config'!$G$1=2,'DDR3 Spec'!W37,IF('DDR3 Config'!$G$1=3,'DDR3 Spec'!AH37,IF('DDR3 Config'!$G$1=4,'DDR3 Spec'!AS37,'DDR3 Spec'!BD37))))</f>
        <v>1.875</v>
      </c>
      <c r="M76" s="47">
        <f>IF('DDR3 Config'!$G$1=1,'DDR3 Spec'!M37,IF('DDR3 Config'!$G$1=2,'DDR3 Spec'!X37,IF('DDR3 Config'!$G$1=3,'DDR3 Spec'!AI37,IF('DDR3 Config'!$G$1=4,'DDR3 Spec'!AT37,'DDR3 Spec'!BE37))))</f>
        <v>2.5</v>
      </c>
      <c r="N76" s="47"/>
      <c r="O76" s="47"/>
      <c r="P76" s="47"/>
      <c r="Q76" s="47"/>
      <c r="R76" s="47"/>
      <c r="S76" s="47"/>
      <c r="T76" s="47"/>
      <c r="U76" s="47"/>
      <c r="V76" s="47"/>
      <c r="W76" s="47">
        <f>HLOOKUP($W$43,$D$43:$M$77,34)</f>
        <v>1.25</v>
      </c>
      <c r="X76" s="47"/>
      <c r="Y76" s="47"/>
      <c r="Z76" s="47"/>
      <c r="AA76" s="47"/>
      <c r="AB76" s="47"/>
      <c r="AC76" s="47"/>
      <c r="AD76" s="47"/>
      <c r="AE76" s="47"/>
      <c r="AF76" s="47"/>
      <c r="AG76" s="47"/>
      <c r="AH76" s="47"/>
      <c r="AI76" s="47"/>
      <c r="AJ76" s="47"/>
      <c r="AK76" s="27"/>
    </row>
    <row r="77" spans="1:37" ht="24" hidden="1" customHeight="1">
      <c r="A77" s="49"/>
      <c r="B77" s="50"/>
      <c r="C77" s="68" t="s">
        <v>197</v>
      </c>
      <c r="D77" s="47">
        <f>IF('DDR3 Config'!$G$1=1,'DDR3 Spec'!D38,IF('DDR3 Config'!$G$1=2,'DDR3 Spec'!O38,IF('DDR3 Config'!$G$1=3,'DDR3 Spec'!Z38,IF('DDR3 Config'!$G$1=4,'DDR3 Spec'!AK38,'DDR3 Spec'!AV38))))</f>
        <v>3.3</v>
      </c>
      <c r="E77" s="47">
        <f>IF('DDR3 Config'!$G$1=1,'DDR3 Spec'!E38,IF('DDR3 Config'!$G$1=2,'DDR3 Spec'!P38,IF('DDR3 Config'!$G$1=3,'DDR3 Spec'!AA38,IF('DDR3 Config'!$G$1=4,'DDR3 Spec'!AL38,'DDR3 Spec'!AW38))))</f>
        <v>3.3</v>
      </c>
      <c r="F77" s="47">
        <f>IF('DDR3 Config'!$G$1=1,'DDR3 Spec'!F38,IF('DDR3 Config'!$G$1=2,'DDR3 Spec'!Q38,IF('DDR3 Config'!$G$1=3,'DDR3 Spec'!AB38,IF('DDR3 Config'!$G$1=4,'DDR3 Spec'!AM38,'DDR3 Spec'!AX38))))</f>
        <v>3.3</v>
      </c>
      <c r="G77" s="47">
        <f>IF('DDR3 Config'!$G$1=1,'DDR3 Spec'!G38,IF('DDR3 Config'!$G$1=2,'DDR3 Spec'!R38,IF('DDR3 Config'!$G$1=3,'DDR3 Spec'!AC38,IF('DDR3 Config'!$G$1=4,'DDR3 Spec'!AN38,'DDR3 Spec'!AY38))))</f>
        <v>3.3</v>
      </c>
      <c r="H77" s="47">
        <f>IF('DDR3 Config'!$G$1=1,'DDR3 Spec'!H38,IF('DDR3 Config'!$G$1=2,'DDR3 Spec'!S38,IF('DDR3 Config'!$G$1=3,'DDR3 Spec'!AD38,IF('DDR3 Config'!$G$1=4,'DDR3 Spec'!AO38,'DDR3 Spec'!AZ38))))</f>
        <v>3.3</v>
      </c>
      <c r="I77" s="47">
        <f>IF('DDR3 Config'!$G$1=1,'DDR3 Spec'!I38,IF('DDR3 Config'!$G$1=2,'DDR3 Spec'!T38,IF('DDR3 Config'!$G$1=3,'DDR3 Spec'!AE38,IF('DDR3 Config'!$G$1=4,'DDR3 Spec'!AP38,'DDR3 Spec'!BA38))))</f>
        <v>3.3</v>
      </c>
      <c r="J77" s="47">
        <f>IF('DDR3 Config'!$G$1=1,'DDR3 Spec'!J38,IF('DDR3 Config'!$G$1=2,'DDR3 Spec'!U38,IF('DDR3 Config'!$G$1=3,'DDR3 Spec'!AF38,IF('DDR3 Config'!$G$1=4,'DDR3 Spec'!AQ38,'DDR3 Spec'!BB38))))</f>
        <v>3.3</v>
      </c>
      <c r="K77" s="47">
        <f>IF('DDR3 Config'!$G$1=1,'DDR3 Spec'!K38,IF('DDR3 Config'!$G$1=2,'DDR3 Spec'!V38,IF('DDR3 Config'!$G$1=3,'DDR3 Spec'!AG38,IF('DDR3 Config'!$G$1=4,'DDR3 Spec'!AR38,'DDR3 Spec'!BC38))))</f>
        <v>3.3</v>
      </c>
      <c r="L77" s="47">
        <f>IF('DDR3 Config'!$G$1=1,'DDR3 Spec'!L38,IF('DDR3 Config'!$G$1=2,'DDR3 Spec'!W38,IF('DDR3 Config'!$G$1=3,'DDR3 Spec'!AH38,IF('DDR3 Config'!$G$1=4,'DDR3 Spec'!AS38,'DDR3 Spec'!BD38))))</f>
        <v>3.3</v>
      </c>
      <c r="M77" s="47">
        <f>IF('DDR3 Config'!$G$1=1,'DDR3 Spec'!M38,IF('DDR3 Config'!$G$1=2,'DDR3 Spec'!X38,IF('DDR3 Config'!$G$1=3,'DDR3 Spec'!AI38,IF('DDR3 Config'!$G$1=4,'DDR3 Spec'!AT38,'DDR3 Spec'!BE38))))</f>
        <v>3.3</v>
      </c>
      <c r="N77" s="47"/>
      <c r="O77" s="47"/>
      <c r="P77" s="47"/>
      <c r="Q77" s="47"/>
      <c r="R77" s="47"/>
      <c r="S77" s="47"/>
      <c r="T77" s="47"/>
      <c r="U77" s="47"/>
      <c r="V77" s="47"/>
      <c r="W77" s="47">
        <f>HLOOKUP($W$43,$D$43:$M$77,35)</f>
        <v>3.3</v>
      </c>
      <c r="X77" s="47"/>
      <c r="Y77" s="47"/>
      <c r="Z77" s="47"/>
      <c r="AA77" s="47"/>
      <c r="AB77" s="47"/>
      <c r="AC77" s="47"/>
      <c r="AD77" s="47"/>
      <c r="AE77" s="47"/>
      <c r="AF77" s="47"/>
      <c r="AG77" s="47"/>
      <c r="AH77" s="47"/>
      <c r="AI77" s="47"/>
      <c r="AJ77" s="47"/>
      <c r="AK77" s="27"/>
    </row>
    <row r="78" spans="1:37" ht="24" hidden="1" customHeight="1" thickBot="1">
      <c r="A78" s="49"/>
      <c r="B78" s="50"/>
      <c r="C78" s="49"/>
      <c r="D78" s="49"/>
      <c r="E78" s="47"/>
      <c r="F78" s="47"/>
      <c r="G78" s="47"/>
      <c r="H78" s="47"/>
      <c r="I78" s="47"/>
      <c r="J78" s="47"/>
      <c r="K78" s="47"/>
      <c r="L78" s="47"/>
      <c r="M78" s="47"/>
      <c r="N78" s="47"/>
      <c r="O78" s="47"/>
      <c r="P78" s="47"/>
      <c r="Q78" s="47"/>
      <c r="R78" s="47"/>
      <c r="S78" s="47"/>
      <c r="T78" s="47"/>
      <c r="U78" s="47"/>
      <c r="V78" s="47"/>
      <c r="W78" s="47"/>
      <c r="X78" s="47"/>
      <c r="Y78" s="47"/>
      <c r="Z78" s="47"/>
      <c r="AA78" s="47"/>
      <c r="AB78" s="47"/>
      <c r="AC78" s="47"/>
      <c r="AD78" s="47"/>
      <c r="AE78" s="47"/>
      <c r="AF78" s="47"/>
      <c r="AG78" s="47"/>
      <c r="AH78" s="47"/>
      <c r="AI78" s="47"/>
      <c r="AJ78" s="47"/>
      <c r="AK78" s="27"/>
    </row>
    <row r="79" spans="1:37" ht="24" hidden="1" customHeight="1">
      <c r="A79" s="51" t="s">
        <v>51</v>
      </c>
      <c r="B79" s="52" t="s">
        <v>52</v>
      </c>
      <c r="C79" s="49"/>
      <c r="D79" s="49"/>
      <c r="E79" s="47"/>
      <c r="F79" s="47"/>
      <c r="G79" s="47"/>
      <c r="H79" s="47"/>
      <c r="I79" s="47"/>
      <c r="J79" s="47"/>
      <c r="K79" s="47"/>
      <c r="L79" s="47"/>
      <c r="M79" s="47"/>
      <c r="N79" s="47"/>
      <c r="O79" s="47"/>
      <c r="P79" s="47"/>
      <c r="Q79" s="47"/>
      <c r="R79" s="47"/>
      <c r="S79" s="47"/>
      <c r="T79" s="47"/>
      <c r="U79" s="47"/>
      <c r="V79" s="47"/>
      <c r="W79" s="47"/>
      <c r="X79" s="47"/>
      <c r="Y79" s="47"/>
      <c r="Z79" s="47"/>
      <c r="AA79" s="47"/>
      <c r="AB79" s="47"/>
      <c r="AC79" s="47"/>
      <c r="AD79" s="47"/>
      <c r="AE79" s="47"/>
      <c r="AF79" s="47"/>
      <c r="AG79" s="47"/>
      <c r="AH79" s="47"/>
      <c r="AI79" s="47"/>
      <c r="AJ79" s="47"/>
      <c r="AK79" s="27"/>
    </row>
    <row r="80" spans="1:37" ht="24" hidden="1" customHeight="1">
      <c r="A80" s="42"/>
      <c r="B80" s="43" t="s">
        <v>178</v>
      </c>
      <c r="C80" s="49"/>
      <c r="D80" s="49"/>
      <c r="E80" s="47"/>
      <c r="F80" s="47"/>
      <c r="G80" s="47"/>
      <c r="H80" s="47"/>
      <c r="I80" s="47"/>
      <c r="J80" s="47"/>
      <c r="K80" s="47"/>
      <c r="L80" s="47">
        <f>IF('DDR3 Config'!K12=1,'DDR3 Config'!L8,'DDR3 Config'!L9)</f>
        <v>1.575</v>
      </c>
      <c r="M80" s="47"/>
      <c r="N80" s="47"/>
      <c r="O80" s="47"/>
      <c r="P80" s="47"/>
      <c r="Q80" s="47"/>
      <c r="R80" s="47"/>
      <c r="S80" s="47"/>
      <c r="T80" s="47"/>
      <c r="U80" s="47"/>
      <c r="V80" s="47"/>
      <c r="W80" s="47"/>
      <c r="X80" s="47"/>
      <c r="Y80" s="47"/>
      <c r="Z80" s="47"/>
      <c r="AA80" s="47"/>
      <c r="AB80" s="47"/>
      <c r="AC80" s="47"/>
      <c r="AD80" s="47"/>
      <c r="AE80" s="47"/>
      <c r="AF80" s="47"/>
      <c r="AG80" s="47"/>
      <c r="AH80" s="47"/>
      <c r="AI80" s="47"/>
      <c r="AJ80" s="47"/>
      <c r="AK80" s="27"/>
    </row>
    <row r="81" spans="1:37" ht="24" hidden="1" customHeight="1">
      <c r="A81" s="42"/>
      <c r="B81" s="43" t="s">
        <v>179</v>
      </c>
      <c r="C81" s="49"/>
      <c r="D81" s="49"/>
      <c r="E81" s="47"/>
      <c r="F81" s="47"/>
      <c r="G81" s="47"/>
      <c r="H81" s="47"/>
      <c r="I81" s="47"/>
      <c r="J81" s="47"/>
      <c r="K81" s="47"/>
      <c r="L81" s="47">
        <f>IF('DDR3 Config'!K12=1,'DDR3 Config'!M8,'DDR3 Config'!M9)</f>
        <v>1.425</v>
      </c>
      <c r="M81" s="47"/>
      <c r="N81" s="47"/>
      <c r="O81" s="47"/>
      <c r="P81" s="47"/>
      <c r="Q81" s="47"/>
      <c r="R81" s="47"/>
      <c r="S81" s="47"/>
      <c r="T81" s="47"/>
      <c r="U81" s="47"/>
      <c r="V81" s="47"/>
      <c r="W81" s="47"/>
      <c r="X81" s="47"/>
      <c r="Y81" s="47"/>
      <c r="Z81" s="47"/>
      <c r="AA81" s="47"/>
      <c r="AB81" s="47"/>
      <c r="AC81" s="47"/>
      <c r="AD81" s="47"/>
      <c r="AE81" s="47"/>
      <c r="AF81" s="47"/>
      <c r="AG81" s="47"/>
      <c r="AH81" s="47"/>
      <c r="AI81" s="47"/>
      <c r="AJ81" s="47"/>
      <c r="AK81" s="27"/>
    </row>
    <row r="82" spans="1:37" ht="24" hidden="1" customHeight="1">
      <c r="A82" s="42"/>
      <c r="B82" s="43"/>
      <c r="C82" s="49"/>
      <c r="D82" s="49"/>
      <c r="E82" s="47"/>
      <c r="F82" s="47"/>
      <c r="G82" s="47"/>
      <c r="H82" s="47"/>
      <c r="I82" s="47"/>
      <c r="J82" s="47"/>
      <c r="K82" s="47"/>
      <c r="L82" s="47"/>
      <c r="M82" s="47"/>
      <c r="N82" s="47"/>
      <c r="O82" s="47"/>
      <c r="P82" s="47"/>
      <c r="Q82" s="47"/>
      <c r="R82" s="47"/>
      <c r="S82" s="47"/>
      <c r="T82" s="47"/>
      <c r="U82" s="47"/>
      <c r="V82" s="47"/>
      <c r="W82" s="47"/>
      <c r="X82" s="47"/>
      <c r="Y82" s="47"/>
      <c r="Z82" s="47"/>
      <c r="AA82" s="47"/>
      <c r="AB82" s="47"/>
      <c r="AC82" s="47"/>
      <c r="AD82" s="47"/>
      <c r="AE82" s="47"/>
      <c r="AF82" s="47"/>
      <c r="AG82" s="47"/>
      <c r="AH82" s="47"/>
      <c r="AI82" s="47"/>
      <c r="AJ82" s="47"/>
      <c r="AK82" s="27"/>
    </row>
    <row r="83" spans="1:37" ht="24" hidden="1" customHeight="1">
      <c r="A83" s="42" t="s">
        <v>163</v>
      </c>
      <c r="B83" s="43" t="s">
        <v>82</v>
      </c>
      <c r="C83" s="49"/>
      <c r="D83" s="49"/>
      <c r="E83" s="47"/>
      <c r="F83" s="47"/>
      <c r="G83" s="47"/>
      <c r="H83" s="47"/>
      <c r="I83" s="47"/>
      <c r="J83" s="47"/>
      <c r="K83" s="47"/>
      <c r="L83" s="47">
        <f>IF('DDR3 Config'!K1=3,'DDR3 Spec'!W48,'DDR3 Spec'!W47)</f>
        <v>49</v>
      </c>
      <c r="M83" s="47"/>
      <c r="N83" s="47"/>
      <c r="O83" s="47"/>
      <c r="P83" s="47"/>
      <c r="Q83" s="47"/>
      <c r="R83" s="47"/>
      <c r="S83" s="47"/>
      <c r="T83" s="47"/>
      <c r="U83" s="47"/>
      <c r="V83" s="47"/>
      <c r="W83" s="47"/>
      <c r="X83" s="47"/>
      <c r="Y83" s="47"/>
      <c r="Z83" s="47"/>
      <c r="AA83" s="47"/>
      <c r="AB83" s="47"/>
      <c r="AC83" s="47"/>
      <c r="AD83" s="47"/>
      <c r="AE83" s="47"/>
      <c r="AF83" s="47"/>
      <c r="AG83" s="47"/>
      <c r="AH83" s="47"/>
      <c r="AI83" s="47"/>
      <c r="AJ83" s="47"/>
      <c r="AK83" s="27"/>
    </row>
    <row r="84" spans="1:37" ht="24" hidden="1" customHeight="1">
      <c r="A84" s="42" t="s">
        <v>164</v>
      </c>
      <c r="B84" s="43" t="s">
        <v>20</v>
      </c>
      <c r="C84" s="49"/>
      <c r="D84" s="49"/>
      <c r="E84" s="47"/>
      <c r="F84" s="47"/>
      <c r="G84" s="47"/>
      <c r="H84" s="47"/>
      <c r="I84" s="47"/>
      <c r="J84" s="47"/>
      <c r="K84" s="47"/>
      <c r="L84" s="47">
        <f>IF('DDR3 Config'!I1=2,L87,L86)</f>
        <v>15</v>
      </c>
      <c r="M84" s="47"/>
      <c r="N84" s="47"/>
      <c r="O84" s="47"/>
      <c r="P84" s="47"/>
      <c r="Q84" s="47"/>
      <c r="R84" s="47"/>
      <c r="S84" s="47"/>
      <c r="T84" s="47"/>
      <c r="U84" s="47"/>
      <c r="V84" s="47"/>
      <c r="W84" s="47"/>
      <c r="X84" s="47"/>
      <c r="Y84" s="47"/>
      <c r="Z84" s="47"/>
      <c r="AA84" s="47"/>
      <c r="AB84" s="47"/>
      <c r="AC84" s="47"/>
      <c r="AD84" s="47"/>
      <c r="AE84" s="47"/>
      <c r="AF84" s="47"/>
      <c r="AG84" s="47"/>
      <c r="AH84" s="47"/>
      <c r="AI84" s="47"/>
      <c r="AJ84" s="47"/>
      <c r="AK84" s="27"/>
    </row>
    <row r="85" spans="1:37" ht="24" hidden="1" customHeight="1">
      <c r="A85" s="42" t="s">
        <v>165</v>
      </c>
      <c r="B85" s="43" t="s">
        <v>21</v>
      </c>
      <c r="C85" s="49"/>
      <c r="D85" s="49"/>
      <c r="E85" s="47"/>
      <c r="F85" s="47"/>
      <c r="G85" s="47"/>
      <c r="H85" s="47"/>
      <c r="I85" s="47"/>
      <c r="J85" s="47"/>
      <c r="K85" s="47"/>
      <c r="L85" s="47">
        <f>IF('DDR3 Config'!K1=3,'DDR3 Spec'!W54,'DDR3 Spec'!W53)</f>
        <v>23</v>
      </c>
      <c r="M85" s="47"/>
      <c r="N85" s="47"/>
      <c r="O85" s="47"/>
      <c r="P85" s="47"/>
      <c r="Q85" s="47"/>
      <c r="R85" s="47"/>
      <c r="S85" s="47"/>
      <c r="T85" s="47"/>
      <c r="U85" s="47"/>
      <c r="V85" s="47"/>
      <c r="W85" s="47"/>
      <c r="X85" s="47"/>
      <c r="Y85" s="47"/>
      <c r="Z85" s="47"/>
      <c r="AA85" s="47"/>
      <c r="AB85" s="47"/>
      <c r="AC85" s="47"/>
      <c r="AD85" s="47"/>
      <c r="AE85" s="47"/>
      <c r="AF85" s="47"/>
      <c r="AG85" s="47"/>
      <c r="AH85" s="47"/>
      <c r="AI85" s="47"/>
      <c r="AJ85" s="47"/>
      <c r="AK85" s="27"/>
    </row>
    <row r="86" spans="1:37" ht="24" hidden="1" customHeight="1">
      <c r="A86" s="42"/>
      <c r="B86" s="43"/>
      <c r="C86" s="49"/>
      <c r="D86" s="49"/>
      <c r="E86" s="47"/>
      <c r="F86" s="47"/>
      <c r="G86" s="47"/>
      <c r="H86" s="47"/>
      <c r="I86" s="47"/>
      <c r="J86" s="47"/>
      <c r="K86" s="47"/>
      <c r="L86" s="47">
        <f>IF('DDR3 Config'!K1=3,'DDR3 Spec'!W50,'DDR3 Spec'!W49)</f>
        <v>12</v>
      </c>
      <c r="M86" s="47"/>
      <c r="N86" s="47"/>
      <c r="O86" s="47"/>
      <c r="P86" s="47"/>
      <c r="Q86" s="47"/>
      <c r="R86" s="47"/>
      <c r="S86" s="47"/>
      <c r="T86" s="47"/>
      <c r="U86" s="47"/>
      <c r="V86" s="47"/>
      <c r="W86" s="47"/>
      <c r="X86" s="47"/>
      <c r="Y86" s="47"/>
      <c r="Z86" s="47"/>
      <c r="AA86" s="47"/>
      <c r="AB86" s="47"/>
      <c r="AC86" s="47"/>
      <c r="AD86" s="47"/>
      <c r="AE86" s="47"/>
      <c r="AF86" s="47"/>
      <c r="AG86" s="47"/>
      <c r="AH86" s="47"/>
      <c r="AI86" s="47"/>
      <c r="AJ86" s="47"/>
      <c r="AK86" s="27"/>
    </row>
    <row r="87" spans="1:37" ht="24" hidden="1" customHeight="1">
      <c r="A87" s="42"/>
      <c r="B87" s="43"/>
      <c r="C87" s="49"/>
      <c r="D87" s="49"/>
      <c r="E87" s="47"/>
      <c r="F87" s="47"/>
      <c r="G87" s="47"/>
      <c r="H87" s="47"/>
      <c r="I87" s="47"/>
      <c r="J87" s="47"/>
      <c r="K87" s="47"/>
      <c r="L87" s="47">
        <f>IF('DDR3 Config'!K1=3,'DDR3 Spec'!W52,'DDR3 Spec'!W51)</f>
        <v>15</v>
      </c>
      <c r="M87" s="47"/>
      <c r="N87" s="47"/>
      <c r="O87" s="47"/>
      <c r="P87" s="47"/>
      <c r="Q87" s="47"/>
      <c r="R87" s="47"/>
      <c r="S87" s="47"/>
      <c r="T87" s="47"/>
      <c r="U87" s="47"/>
      <c r="V87" s="47"/>
      <c r="W87" s="47"/>
      <c r="X87" s="47"/>
      <c r="Y87" s="47"/>
      <c r="Z87" s="47"/>
      <c r="AA87" s="47"/>
      <c r="AB87" s="47"/>
      <c r="AC87" s="47"/>
      <c r="AD87" s="47"/>
      <c r="AE87" s="47"/>
      <c r="AF87" s="47"/>
      <c r="AG87" s="47"/>
      <c r="AH87" s="47"/>
      <c r="AI87" s="47"/>
      <c r="AJ87" s="47"/>
      <c r="AK87" s="27"/>
    </row>
    <row r="88" spans="1:37" ht="24" hidden="1" customHeight="1">
      <c r="A88" s="42" t="s">
        <v>166</v>
      </c>
      <c r="B88" s="43" t="s">
        <v>22</v>
      </c>
      <c r="C88" s="49"/>
      <c r="D88" s="49"/>
      <c r="E88" s="47"/>
      <c r="F88" s="47"/>
      <c r="G88" s="47"/>
      <c r="H88" s="47"/>
      <c r="I88" s="47"/>
      <c r="J88" s="47"/>
      <c r="K88" s="47"/>
      <c r="L88" s="47">
        <f>IF('DDR3 Config'!K1=3,'DDR3 Spec'!W56,'DDR3 Spec'!W55)</f>
        <v>22</v>
      </c>
      <c r="M88" s="47"/>
      <c r="N88" s="47"/>
      <c r="O88" s="47"/>
      <c r="P88" s="47"/>
      <c r="Q88" s="47"/>
      <c r="R88" s="47"/>
      <c r="S88" s="47"/>
      <c r="T88" s="47"/>
      <c r="U88" s="47"/>
      <c r="V88" s="47"/>
      <c r="W88" s="47"/>
      <c r="X88" s="47"/>
      <c r="Y88" s="47"/>
      <c r="Z88" s="47"/>
      <c r="AA88" s="47"/>
      <c r="AB88" s="47"/>
      <c r="AC88" s="47"/>
      <c r="AD88" s="47"/>
      <c r="AE88" s="47"/>
      <c r="AF88" s="47"/>
      <c r="AG88" s="47"/>
      <c r="AH88" s="47"/>
      <c r="AI88" s="47"/>
      <c r="AJ88" s="47"/>
      <c r="AK88" s="27"/>
    </row>
    <row r="89" spans="1:37" ht="24" hidden="1" customHeight="1">
      <c r="A89" s="42" t="s">
        <v>167</v>
      </c>
      <c r="B89" s="43" t="s">
        <v>23</v>
      </c>
      <c r="C89" s="49"/>
      <c r="D89" s="49"/>
      <c r="E89" s="47"/>
      <c r="F89" s="47"/>
      <c r="G89" s="47"/>
      <c r="H89" s="47"/>
      <c r="I89" s="47"/>
      <c r="J89" s="47"/>
      <c r="K89" s="47"/>
      <c r="L89" s="47">
        <f>IF('DDR3 Config'!K1=3,'DDR3 Spec'!W58,'DDR3 Spec'!W57)</f>
        <v>37</v>
      </c>
      <c r="M89" s="47"/>
      <c r="N89" s="47"/>
      <c r="O89" s="47"/>
      <c r="P89" s="47"/>
      <c r="Q89" s="47"/>
      <c r="R89" s="47"/>
      <c r="S89" s="47"/>
      <c r="T89" s="47"/>
      <c r="U89" s="47"/>
      <c r="V89" s="47"/>
      <c r="W89" s="47"/>
      <c r="X89" s="47"/>
      <c r="Y89" s="47"/>
      <c r="Z89" s="47"/>
      <c r="AA89" s="47"/>
      <c r="AB89" s="47"/>
      <c r="AC89" s="47"/>
      <c r="AD89" s="47"/>
      <c r="AE89" s="47"/>
      <c r="AF89" s="47"/>
      <c r="AG89" s="47"/>
      <c r="AH89" s="47"/>
      <c r="AI89" s="47"/>
      <c r="AJ89" s="47"/>
      <c r="AK89" s="27"/>
    </row>
    <row r="90" spans="1:37" ht="24" hidden="1" customHeight="1">
      <c r="A90" s="42" t="s">
        <v>168</v>
      </c>
      <c r="B90" s="43" t="s">
        <v>24</v>
      </c>
      <c r="C90" s="49"/>
      <c r="D90" s="49"/>
      <c r="E90" s="47"/>
      <c r="F90" s="47"/>
      <c r="G90" s="47"/>
      <c r="H90" s="47"/>
      <c r="I90" s="47"/>
      <c r="J90" s="47"/>
      <c r="K90" s="47"/>
      <c r="L90" s="47">
        <f>IF('DDR3 Config'!K1=3,'DDR3 Spec'!W61,          IF('DDR3 Config'!K1=2,             'DDR3 Spec'!W60,             'DDR3 Spec'!W59          )             )</f>
        <v>135</v>
      </c>
      <c r="M90" s="47"/>
      <c r="N90" s="47"/>
      <c r="O90" s="47"/>
      <c r="P90" s="47"/>
      <c r="Q90" s="47"/>
      <c r="R90" s="47"/>
      <c r="S90" s="47"/>
      <c r="T90" s="47"/>
      <c r="U90" s="47"/>
      <c r="V90" s="47"/>
      <c r="W90" s="47"/>
      <c r="X90" s="47"/>
      <c r="Y90" s="47"/>
      <c r="Z90" s="47"/>
      <c r="AA90" s="47"/>
      <c r="AB90" s="47"/>
      <c r="AC90" s="47"/>
      <c r="AD90" s="47"/>
      <c r="AE90" s="47"/>
      <c r="AF90" s="47"/>
      <c r="AG90" s="47"/>
      <c r="AH90" s="47"/>
      <c r="AI90" s="47"/>
      <c r="AJ90" s="47"/>
      <c r="AK90" s="27"/>
    </row>
    <row r="91" spans="1:37" ht="24" hidden="1" customHeight="1">
      <c r="A91" s="42" t="s">
        <v>169</v>
      </c>
      <c r="B91" s="43" t="s">
        <v>25</v>
      </c>
      <c r="C91" s="49"/>
      <c r="D91" s="49"/>
      <c r="E91" s="47"/>
      <c r="F91" s="47"/>
      <c r="G91" s="47"/>
      <c r="H91" s="47"/>
      <c r="I91" s="47"/>
      <c r="J91" s="47"/>
      <c r="K91" s="47"/>
      <c r="L91" s="47">
        <f>IF('DDR3 Config'!K1=3,'DDR3 Spec'!W64,          IF('DDR3 Config'!K1=2,             'DDR3 Spec'!W63,             'DDR3 Spec'!W62          )             )</f>
        <v>146</v>
      </c>
      <c r="M91" s="47"/>
      <c r="N91" s="47"/>
      <c r="O91" s="47"/>
      <c r="P91" s="47"/>
      <c r="Q91" s="47"/>
      <c r="R91" s="47"/>
      <c r="S91" s="47"/>
      <c r="T91" s="47"/>
      <c r="U91" s="47"/>
      <c r="V91" s="47"/>
      <c r="W91" s="47"/>
      <c r="X91" s="47"/>
      <c r="Y91" s="47"/>
      <c r="Z91" s="47"/>
      <c r="AA91" s="47"/>
      <c r="AB91" s="47"/>
      <c r="AC91" s="47"/>
      <c r="AD91" s="47"/>
      <c r="AE91" s="47"/>
      <c r="AF91" s="47"/>
      <c r="AG91" s="47"/>
      <c r="AH91" s="47"/>
      <c r="AI91" s="47"/>
      <c r="AJ91" s="47"/>
      <c r="AK91" s="27"/>
    </row>
    <row r="92" spans="1:37" ht="24" hidden="1" customHeight="1">
      <c r="A92" s="42" t="s">
        <v>170</v>
      </c>
      <c r="B92" s="43" t="s">
        <v>32</v>
      </c>
      <c r="C92" s="49"/>
      <c r="D92" s="49"/>
      <c r="E92" s="47"/>
      <c r="F92" s="47"/>
      <c r="G92" s="47"/>
      <c r="H92" s="47"/>
      <c r="I92" s="47"/>
      <c r="J92" s="47"/>
      <c r="K92" s="47"/>
      <c r="L92" s="47">
        <f>IF('DDR3 Config'!K1=3,'DDR3 Spec'!W66,'DDR3 Spec'!W65)</f>
        <v>182</v>
      </c>
      <c r="M92" s="47"/>
      <c r="N92" s="47"/>
      <c r="O92" s="47"/>
      <c r="P92" s="47"/>
      <c r="Q92" s="47"/>
      <c r="R92" s="47"/>
      <c r="S92" s="47"/>
      <c r="T92" s="47"/>
      <c r="U92" s="47"/>
      <c r="V92" s="47"/>
      <c r="W92" s="47"/>
      <c r="X92" s="47"/>
      <c r="Y92" s="47"/>
      <c r="Z92" s="47"/>
      <c r="AA92" s="47"/>
      <c r="AB92" s="47"/>
      <c r="AC92" s="47"/>
      <c r="AD92" s="47"/>
      <c r="AE92" s="47"/>
      <c r="AF92" s="47"/>
      <c r="AG92" s="47"/>
      <c r="AH92" s="47"/>
      <c r="AI92" s="47"/>
      <c r="AJ92" s="47"/>
      <c r="AK92" s="27"/>
    </row>
    <row r="93" spans="1:37" ht="24" hidden="1" customHeight="1">
      <c r="A93" s="42"/>
      <c r="B93" s="43"/>
      <c r="C93" s="49"/>
      <c r="D93" s="49"/>
      <c r="E93" s="47"/>
      <c r="F93" s="47"/>
      <c r="G93" s="47"/>
      <c r="H93" s="47"/>
      <c r="I93" s="47"/>
      <c r="J93" s="47"/>
      <c r="K93" s="47"/>
      <c r="L93" s="47"/>
      <c r="M93" s="47"/>
      <c r="N93" s="47"/>
      <c r="O93" s="47"/>
      <c r="P93" s="47"/>
      <c r="Q93" s="47"/>
      <c r="R93" s="47"/>
      <c r="S93" s="47"/>
      <c r="T93" s="47"/>
      <c r="U93" s="47"/>
      <c r="V93" s="47"/>
      <c r="W93" s="47"/>
      <c r="X93" s="47"/>
      <c r="Y93" s="47"/>
      <c r="Z93" s="47"/>
      <c r="AA93" s="47"/>
      <c r="AB93" s="47"/>
      <c r="AC93" s="47"/>
      <c r="AD93" s="47"/>
      <c r="AE93" s="47"/>
      <c r="AF93" s="47"/>
      <c r="AG93" s="47"/>
      <c r="AH93" s="47"/>
      <c r="AI93" s="47"/>
      <c r="AJ93" s="47"/>
      <c r="AK93" s="27"/>
    </row>
    <row r="94" spans="1:37" ht="24" hidden="1" customHeight="1">
      <c r="A94" s="42"/>
      <c r="B94" s="48" t="s">
        <v>171</v>
      </c>
      <c r="C94" s="49"/>
      <c r="D94" s="49"/>
      <c r="E94" s="47"/>
      <c r="F94" s="47"/>
      <c r="G94" s="47"/>
      <c r="H94" s="47"/>
      <c r="I94" s="47"/>
      <c r="J94" s="47"/>
      <c r="K94" s="47"/>
      <c r="L94" s="47">
        <f>W69</f>
        <v>1.25</v>
      </c>
      <c r="M94" s="47"/>
      <c r="N94" s="47"/>
      <c r="O94" s="47"/>
      <c r="P94" s="47"/>
      <c r="Q94" s="47"/>
      <c r="R94" s="47"/>
      <c r="S94" s="47"/>
      <c r="T94" s="47"/>
      <c r="U94" s="47"/>
      <c r="V94" s="47"/>
      <c r="W94" s="47"/>
      <c r="X94" s="47"/>
      <c r="Y94" s="47"/>
      <c r="Z94" s="47"/>
      <c r="AA94" s="47"/>
      <c r="AB94" s="47"/>
      <c r="AC94" s="47"/>
      <c r="AD94" s="47"/>
      <c r="AE94" s="47"/>
      <c r="AF94" s="47"/>
      <c r="AG94" s="47"/>
      <c r="AH94" s="47"/>
      <c r="AI94" s="47"/>
      <c r="AJ94" s="47"/>
      <c r="AK94" s="27"/>
    </row>
    <row r="95" spans="1:37" ht="24" hidden="1" customHeight="1">
      <c r="A95" s="53" t="s">
        <v>172</v>
      </c>
      <c r="B95" s="43" t="s">
        <v>1</v>
      </c>
      <c r="C95" s="49"/>
      <c r="D95" s="49"/>
      <c r="E95" s="47"/>
      <c r="F95" s="47"/>
      <c r="G95" s="47"/>
      <c r="H95" s="47"/>
      <c r="I95" s="47"/>
      <c r="J95" s="47"/>
      <c r="K95" s="47"/>
      <c r="L95" s="47">
        <f>IF('DDR3 Config'!K1=3,'DDR3 Spec'!W71,'DDR3 Spec'!W70)</f>
        <v>7.5</v>
      </c>
      <c r="M95" s="47"/>
      <c r="N95" s="47"/>
      <c r="O95" s="47"/>
      <c r="P95" s="47"/>
      <c r="Q95" s="47"/>
      <c r="R95" s="47"/>
      <c r="S95" s="47"/>
      <c r="T95" s="47"/>
      <c r="U95" s="47"/>
      <c r="V95" s="47"/>
      <c r="W95" s="47"/>
      <c r="X95" s="47"/>
      <c r="Y95" s="47"/>
      <c r="Z95" s="47"/>
      <c r="AA95" s="47"/>
      <c r="AB95" s="47"/>
      <c r="AC95" s="47"/>
      <c r="AD95" s="47"/>
      <c r="AE95" s="47"/>
      <c r="AF95" s="47"/>
      <c r="AG95" s="47"/>
      <c r="AH95" s="47"/>
      <c r="AI95" s="47"/>
      <c r="AJ95" s="47"/>
      <c r="AK95" s="27"/>
    </row>
    <row r="96" spans="1:37" ht="24" hidden="1" customHeight="1">
      <c r="A96" s="53" t="s">
        <v>173</v>
      </c>
      <c r="B96" s="43" t="s">
        <v>2</v>
      </c>
      <c r="C96" s="49"/>
      <c r="D96" s="49"/>
      <c r="E96" s="47"/>
      <c r="F96" s="47"/>
      <c r="G96" s="47"/>
      <c r="H96" s="47"/>
      <c r="I96" s="47"/>
      <c r="J96" s="47"/>
      <c r="K96" s="47"/>
      <c r="L96" s="47">
        <f t="shared" ref="L96:L101" si="0">W72</f>
        <v>48.75</v>
      </c>
      <c r="M96" s="47"/>
      <c r="N96" s="47"/>
      <c r="O96" s="47"/>
      <c r="P96" s="47"/>
      <c r="Q96" s="47"/>
      <c r="R96" s="47"/>
      <c r="S96" s="47"/>
      <c r="T96" s="47"/>
      <c r="U96" s="47"/>
      <c r="V96" s="47"/>
      <c r="W96" s="47"/>
      <c r="X96" s="47"/>
      <c r="Y96" s="47"/>
      <c r="Z96" s="47"/>
      <c r="AA96" s="47"/>
      <c r="AB96" s="47"/>
      <c r="AC96" s="47"/>
      <c r="AD96" s="47"/>
      <c r="AE96" s="47"/>
      <c r="AF96" s="47"/>
      <c r="AG96" s="47"/>
      <c r="AH96" s="47"/>
      <c r="AI96" s="47"/>
      <c r="AJ96" s="47"/>
      <c r="AK96" s="27"/>
    </row>
    <row r="97" spans="1:37" ht="24" hidden="1" customHeight="1">
      <c r="A97" s="53" t="s">
        <v>174</v>
      </c>
      <c r="B97" s="43" t="s">
        <v>31</v>
      </c>
      <c r="C97" s="49"/>
      <c r="D97" s="49"/>
      <c r="E97" s="47"/>
      <c r="F97" s="47"/>
      <c r="G97" s="47"/>
      <c r="H97" s="47"/>
      <c r="I97" s="47"/>
      <c r="J97" s="47"/>
      <c r="K97" s="47"/>
      <c r="L97" s="47">
        <f t="shared" si="0"/>
        <v>35</v>
      </c>
      <c r="M97" s="47"/>
      <c r="N97" s="47"/>
      <c r="O97" s="47"/>
      <c r="P97" s="47"/>
      <c r="Q97" s="47"/>
      <c r="R97" s="47"/>
      <c r="S97" s="47"/>
      <c r="T97" s="47"/>
      <c r="U97" s="47"/>
      <c r="V97" s="47"/>
      <c r="W97" s="47"/>
      <c r="X97" s="47"/>
      <c r="Y97" s="47"/>
      <c r="Z97" s="47"/>
      <c r="AA97" s="47"/>
      <c r="AB97" s="47"/>
      <c r="AC97" s="47"/>
      <c r="AD97" s="47"/>
      <c r="AE97" s="47"/>
      <c r="AF97" s="47"/>
      <c r="AG97" s="47"/>
      <c r="AH97" s="47"/>
      <c r="AI97" s="47"/>
      <c r="AJ97" s="47"/>
      <c r="AK97" s="27"/>
    </row>
    <row r="98" spans="1:37" ht="24" hidden="1" customHeight="1">
      <c r="A98" s="53" t="s">
        <v>180</v>
      </c>
      <c r="B98" s="43" t="s">
        <v>91</v>
      </c>
      <c r="C98" s="49"/>
      <c r="D98" s="49"/>
      <c r="E98" s="47"/>
      <c r="F98" s="47"/>
      <c r="G98" s="47"/>
      <c r="H98" s="47"/>
      <c r="I98" s="47"/>
      <c r="J98" s="47"/>
      <c r="K98" s="47"/>
      <c r="L98" s="47">
        <f t="shared" si="0"/>
        <v>160</v>
      </c>
      <c r="M98" s="47"/>
      <c r="N98" s="47"/>
      <c r="O98" s="47"/>
      <c r="P98" s="47"/>
      <c r="Q98" s="47"/>
      <c r="R98" s="47"/>
      <c r="S98" s="47"/>
      <c r="T98" s="47"/>
      <c r="U98" s="47"/>
      <c r="V98" s="47"/>
      <c r="W98" s="47"/>
      <c r="X98" s="47"/>
      <c r="Y98" s="47"/>
      <c r="Z98" s="47"/>
      <c r="AA98" s="47"/>
      <c r="AB98" s="47"/>
      <c r="AC98" s="47"/>
      <c r="AD98" s="47"/>
      <c r="AE98" s="47"/>
      <c r="AF98" s="47"/>
      <c r="AG98" s="47"/>
      <c r="AH98" s="47"/>
      <c r="AI98" s="47"/>
      <c r="AJ98" s="47"/>
      <c r="AK98" s="27"/>
    </row>
    <row r="99" spans="1:37" ht="24" hidden="1" customHeight="1">
      <c r="A99" s="53" t="s">
        <v>175</v>
      </c>
      <c r="B99" s="43" t="s">
        <v>92</v>
      </c>
      <c r="C99" s="49"/>
      <c r="D99" s="49"/>
      <c r="E99" s="47"/>
      <c r="F99" s="47"/>
      <c r="G99" s="47"/>
      <c r="H99" s="47"/>
      <c r="I99" s="47"/>
      <c r="J99" s="47"/>
      <c r="K99" s="47"/>
      <c r="L99" s="47">
        <f t="shared" si="0"/>
        <v>7.8</v>
      </c>
      <c r="M99" s="47"/>
      <c r="N99" s="47"/>
      <c r="O99" s="47"/>
      <c r="P99" s="47"/>
      <c r="Q99" s="47"/>
      <c r="R99" s="47"/>
      <c r="S99" s="47"/>
      <c r="T99" s="47"/>
      <c r="U99" s="47"/>
      <c r="V99" s="47"/>
      <c r="W99" s="47"/>
      <c r="X99" s="47"/>
      <c r="Y99" s="47"/>
      <c r="Z99" s="47"/>
      <c r="AA99" s="47"/>
      <c r="AB99" s="47"/>
      <c r="AC99" s="47"/>
      <c r="AD99" s="47"/>
      <c r="AE99" s="47"/>
      <c r="AF99" s="47"/>
      <c r="AG99" s="47"/>
      <c r="AH99" s="47"/>
      <c r="AI99" s="47"/>
      <c r="AJ99" s="47"/>
      <c r="AK99" s="27"/>
    </row>
    <row r="100" spans="1:37" ht="24" hidden="1" customHeight="1">
      <c r="A100" s="42" t="s">
        <v>93</v>
      </c>
      <c r="B100" s="43" t="s">
        <v>176</v>
      </c>
      <c r="C100" s="49"/>
      <c r="D100" s="49"/>
      <c r="E100" s="47"/>
      <c r="F100" s="47"/>
      <c r="G100" s="47"/>
      <c r="H100" s="47"/>
      <c r="I100" s="47"/>
      <c r="J100" s="47"/>
      <c r="K100" s="47"/>
      <c r="L100" s="47">
        <f t="shared" si="0"/>
        <v>1.25</v>
      </c>
      <c r="M100" s="47"/>
      <c r="N100" s="47"/>
      <c r="O100" s="47"/>
      <c r="P100" s="47"/>
      <c r="Q100" s="47"/>
      <c r="R100" s="47"/>
      <c r="S100" s="47"/>
      <c r="T100" s="47"/>
      <c r="U100" s="47"/>
      <c r="V100" s="47"/>
      <c r="W100" s="47"/>
      <c r="X100" s="47"/>
      <c r="Y100" s="47"/>
      <c r="Z100" s="47"/>
      <c r="AA100" s="47"/>
      <c r="AB100" s="47"/>
      <c r="AC100" s="47"/>
      <c r="AD100" s="47"/>
      <c r="AE100" s="47"/>
      <c r="AF100" s="47"/>
      <c r="AG100" s="47"/>
      <c r="AH100" s="47"/>
      <c r="AI100" s="47"/>
      <c r="AJ100" s="47"/>
      <c r="AK100" s="27"/>
    </row>
    <row r="101" spans="1:37" ht="24" hidden="1" customHeight="1" thickBot="1">
      <c r="A101" s="54" t="s">
        <v>94</v>
      </c>
      <c r="B101" s="55" t="s">
        <v>177</v>
      </c>
      <c r="C101" s="49"/>
      <c r="D101" s="49"/>
      <c r="E101" s="47"/>
      <c r="F101" s="47"/>
      <c r="G101" s="47"/>
      <c r="H101" s="47"/>
      <c r="I101" s="47"/>
      <c r="J101" s="47"/>
      <c r="K101" s="47"/>
      <c r="L101" s="47">
        <f t="shared" si="0"/>
        <v>3.3</v>
      </c>
      <c r="M101" s="47"/>
      <c r="N101" s="47"/>
      <c r="O101" s="47"/>
      <c r="P101" s="47"/>
      <c r="Q101" s="47"/>
      <c r="R101" s="47"/>
      <c r="S101" s="47"/>
      <c r="T101" s="47"/>
      <c r="U101" s="47"/>
      <c r="V101" s="47"/>
      <c r="W101" s="47"/>
      <c r="X101" s="47"/>
      <c r="Y101" s="47"/>
      <c r="Z101" s="47"/>
      <c r="AA101" s="47"/>
      <c r="AB101" s="47"/>
      <c r="AC101" s="47"/>
      <c r="AD101" s="47"/>
      <c r="AE101" s="47"/>
      <c r="AF101" s="47"/>
      <c r="AG101" s="47"/>
      <c r="AH101" s="47"/>
      <c r="AI101" s="47"/>
      <c r="AJ101" s="47"/>
      <c r="AK101" s="27"/>
    </row>
    <row r="102" spans="1:37" ht="24" hidden="1" customHeight="1">
      <c r="A102" s="49"/>
      <c r="B102" s="50"/>
      <c r="C102" s="49"/>
      <c r="D102" s="49"/>
      <c r="E102" s="47"/>
      <c r="F102" s="47"/>
      <c r="G102" s="47"/>
      <c r="H102" s="47"/>
      <c r="I102" s="47"/>
      <c r="J102" s="47"/>
      <c r="K102" s="47"/>
      <c r="L102" s="47"/>
      <c r="M102" s="47"/>
      <c r="N102" s="47"/>
      <c r="O102" s="47"/>
      <c r="P102" s="47"/>
      <c r="Q102" s="47"/>
      <c r="R102" s="47"/>
      <c r="S102" s="47"/>
      <c r="T102" s="47"/>
      <c r="U102" s="47"/>
      <c r="V102" s="47"/>
      <c r="W102" s="47"/>
      <c r="X102" s="47"/>
      <c r="Y102" s="47"/>
      <c r="Z102" s="47"/>
      <c r="AA102" s="47"/>
      <c r="AB102" s="47"/>
      <c r="AC102" s="47"/>
      <c r="AD102" s="47"/>
      <c r="AE102" s="47"/>
      <c r="AF102" s="47"/>
      <c r="AG102" s="47"/>
      <c r="AH102" s="47"/>
      <c r="AI102" s="47"/>
      <c r="AJ102" s="47"/>
      <c r="AK102" s="27"/>
    </row>
    <row r="103" spans="1:37" ht="24" hidden="1" customHeight="1">
      <c r="A103" s="49"/>
      <c r="B103" s="50"/>
      <c r="C103" s="49"/>
      <c r="D103" s="49"/>
      <c r="E103" s="47"/>
      <c r="F103" s="47"/>
      <c r="G103" s="47"/>
      <c r="H103" s="47"/>
      <c r="I103" s="47"/>
      <c r="J103" s="47"/>
      <c r="K103" s="47"/>
      <c r="L103" s="47"/>
      <c r="M103" s="47"/>
      <c r="N103" s="47"/>
      <c r="O103" s="47"/>
      <c r="P103" s="47"/>
      <c r="Q103" s="47"/>
      <c r="R103" s="47"/>
      <c r="S103" s="47"/>
      <c r="T103" s="47"/>
      <c r="U103" s="47"/>
      <c r="V103" s="47"/>
      <c r="W103" s="47"/>
      <c r="X103" s="47"/>
      <c r="Y103" s="47"/>
      <c r="Z103" s="47"/>
      <c r="AA103" s="47"/>
      <c r="AB103" s="47"/>
      <c r="AC103" s="47"/>
      <c r="AD103" s="47"/>
      <c r="AE103" s="47"/>
      <c r="AF103" s="47"/>
      <c r="AG103" s="47"/>
      <c r="AH103" s="47"/>
      <c r="AI103" s="47"/>
      <c r="AJ103" s="47"/>
      <c r="AK103" s="27"/>
    </row>
    <row r="104" spans="1:37" ht="24" hidden="1" customHeight="1">
      <c r="A104" s="49"/>
      <c r="B104" s="50"/>
      <c r="C104" s="49"/>
      <c r="D104" s="49"/>
      <c r="E104" s="47"/>
      <c r="F104" s="47"/>
      <c r="G104" s="47"/>
      <c r="H104" s="47"/>
      <c r="I104" s="47"/>
      <c r="J104" s="47"/>
      <c r="K104" s="47"/>
      <c r="L104" s="47"/>
      <c r="M104" s="47"/>
      <c r="N104" s="47"/>
      <c r="O104" s="47"/>
      <c r="P104" s="47"/>
      <c r="Q104" s="47"/>
      <c r="R104" s="47"/>
      <c r="S104" s="47"/>
      <c r="T104" s="47"/>
      <c r="U104" s="47"/>
      <c r="V104" s="47"/>
      <c r="W104" s="47"/>
      <c r="X104" s="47"/>
      <c r="Y104" s="47"/>
      <c r="Z104" s="47"/>
      <c r="AA104" s="47"/>
      <c r="AB104" s="47"/>
      <c r="AC104" s="47"/>
      <c r="AD104" s="47"/>
      <c r="AE104" s="47"/>
      <c r="AF104" s="47"/>
      <c r="AG104" s="47"/>
      <c r="AH104" s="47"/>
      <c r="AI104" s="47"/>
      <c r="AJ104" s="47"/>
      <c r="AK104" s="27"/>
    </row>
    <row r="105" spans="1:37" ht="24" hidden="1" customHeight="1">
      <c r="A105" s="49" t="s">
        <v>152</v>
      </c>
      <c r="B105" s="50"/>
      <c r="C105" s="49"/>
      <c r="D105" s="49"/>
      <c r="E105" s="47"/>
      <c r="F105" s="47"/>
      <c r="G105" s="47"/>
      <c r="H105" s="47"/>
      <c r="I105" s="47"/>
      <c r="J105" s="47"/>
      <c r="K105" s="47"/>
      <c r="L105" s="47"/>
      <c r="M105" s="47"/>
      <c r="N105" s="47"/>
      <c r="O105" s="47"/>
      <c r="P105" s="47"/>
      <c r="Q105" s="47"/>
      <c r="R105" s="47"/>
      <c r="S105" s="47"/>
      <c r="T105" s="47"/>
      <c r="U105" s="47"/>
      <c r="V105" s="47"/>
      <c r="W105" s="47"/>
      <c r="X105" s="47"/>
      <c r="Y105" s="47"/>
      <c r="Z105" s="47"/>
      <c r="AA105" s="47"/>
      <c r="AB105" s="47"/>
      <c r="AC105" s="47"/>
      <c r="AD105" s="47"/>
      <c r="AE105" s="47"/>
      <c r="AF105" s="47"/>
      <c r="AG105" s="47"/>
      <c r="AH105" s="47"/>
      <c r="AI105" s="47"/>
      <c r="AJ105" s="47"/>
      <c r="AK105" s="27"/>
    </row>
    <row r="106" spans="1:37" ht="24" hidden="1" customHeight="1">
      <c r="A106" s="27"/>
      <c r="B106" s="28"/>
      <c r="C106" s="27"/>
      <c r="D106" s="27"/>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7"/>
    </row>
    <row r="107" spans="1:37" ht="24" customHeight="1"/>
    <row r="108" spans="1:37" ht="24" customHeight="1"/>
    <row r="109" spans="1:37" ht="24" customHeight="1"/>
    <row r="110" spans="1:37" ht="24" customHeight="1"/>
    <row r="111" spans="1:37" ht="24" customHeight="1"/>
    <row r="112" spans="1:37" ht="24" customHeight="1"/>
    <row r="113" ht="24" customHeight="1"/>
    <row r="114" ht="24" customHeight="1"/>
    <row r="115" ht="24" customHeight="1"/>
    <row r="116" ht="24" customHeight="1"/>
    <row r="117" ht="24" customHeight="1"/>
    <row r="118" ht="24" customHeight="1"/>
    <row r="119" ht="24" customHeight="1"/>
    <row r="120" ht="24" customHeight="1"/>
    <row r="121" ht="24" customHeight="1"/>
    <row r="122" ht="24" customHeight="1"/>
    <row r="123" ht="24" customHeight="1"/>
    <row r="124" ht="24" customHeight="1"/>
    <row r="125" ht="24" customHeight="1"/>
    <row r="126" ht="24" customHeight="1"/>
    <row r="127" ht="24" customHeight="1"/>
    <row r="128" ht="24" customHeight="1"/>
    <row r="129" ht="24" customHeight="1"/>
    <row r="130" ht="24" customHeight="1"/>
    <row r="131" ht="24" customHeight="1"/>
    <row r="132" ht="24" customHeight="1"/>
    <row r="133" ht="24" customHeight="1"/>
    <row r="134" ht="24" customHeight="1"/>
    <row r="135" ht="24" customHeight="1"/>
    <row r="136" ht="24" customHeight="1"/>
    <row r="137" ht="24" customHeight="1"/>
    <row r="138" ht="24" customHeight="1"/>
    <row r="139" ht="24" customHeight="1"/>
    <row r="140" ht="24" customHeight="1"/>
    <row r="141" ht="24" customHeight="1"/>
    <row r="142" ht="24" customHeight="1"/>
    <row r="143" ht="24" customHeight="1"/>
    <row r="144" ht="24" customHeight="1"/>
    <row r="145" ht="24" customHeight="1"/>
    <row r="146" ht="24" customHeight="1"/>
    <row r="147" ht="24" customHeight="1"/>
    <row r="148" ht="24" customHeight="1"/>
    <row r="149" ht="24" customHeight="1"/>
    <row r="150" ht="24" customHeight="1"/>
    <row r="151" ht="24" customHeight="1"/>
    <row r="152" ht="24" customHeight="1"/>
    <row r="153" ht="24" customHeight="1"/>
    <row r="154" ht="24" customHeight="1"/>
    <row r="155" ht="24" customHeight="1"/>
    <row r="156" ht="24" customHeight="1"/>
    <row r="157" ht="24" customHeight="1"/>
    <row r="158" ht="24" customHeight="1"/>
    <row r="159" ht="24" customHeight="1"/>
    <row r="160" ht="24" customHeight="1"/>
    <row r="161" ht="24" customHeight="1"/>
    <row r="162" ht="24" customHeight="1"/>
    <row r="163" ht="24" customHeight="1"/>
    <row r="164" ht="24" customHeight="1"/>
    <row r="165" ht="24" customHeight="1"/>
    <row r="166" ht="24" customHeight="1"/>
    <row r="167" ht="24" customHeight="1"/>
    <row r="168" ht="24" customHeight="1"/>
    <row r="169" ht="24" customHeight="1"/>
    <row r="170" ht="24" customHeight="1"/>
    <row r="171" ht="24" customHeight="1"/>
    <row r="172" ht="24" customHeight="1"/>
    <row r="173" ht="24" customHeight="1"/>
    <row r="174" ht="24" customHeight="1"/>
    <row r="175" ht="24" customHeight="1"/>
    <row r="176" ht="24" customHeight="1"/>
    <row r="177" ht="24" customHeight="1"/>
    <row r="178" ht="24" customHeight="1"/>
    <row r="179" ht="24" customHeight="1"/>
    <row r="180" ht="24" customHeight="1"/>
    <row r="181" ht="24" customHeight="1"/>
    <row r="182" ht="24" customHeight="1"/>
    <row r="183" ht="24" customHeight="1"/>
    <row r="184" ht="24" customHeight="1"/>
    <row r="185" ht="24" customHeight="1"/>
    <row r="186" ht="24" customHeight="1"/>
    <row r="187" ht="24" customHeight="1"/>
    <row r="188" ht="24" customHeight="1"/>
    <row r="189" ht="24" customHeight="1"/>
    <row r="190" ht="24" customHeight="1"/>
    <row r="191" ht="24" customHeight="1"/>
    <row r="192" ht="24" customHeight="1"/>
    <row r="193" ht="25.5" customHeight="1"/>
    <row r="194" ht="25.5" customHeight="1"/>
    <row r="195" ht="25.5" customHeight="1"/>
    <row r="196" ht="25.5" customHeight="1"/>
    <row r="197" ht="25.5" customHeight="1"/>
  </sheetData>
  <mergeCells count="47">
    <mergeCell ref="C49:C50"/>
    <mergeCell ref="B35:C35"/>
    <mergeCell ref="B6:C6"/>
    <mergeCell ref="B7:C7"/>
    <mergeCell ref="A8:C8"/>
    <mergeCell ref="A31:A32"/>
    <mergeCell ref="A17:A18"/>
    <mergeCell ref="B9:B10"/>
    <mergeCell ref="A19:A20"/>
    <mergeCell ref="A21:A23"/>
    <mergeCell ref="B11:B12"/>
    <mergeCell ref="B13:B14"/>
    <mergeCell ref="B33:C33"/>
    <mergeCell ref="B34:C34"/>
    <mergeCell ref="A27:A28"/>
    <mergeCell ref="B31:B32"/>
    <mergeCell ref="AV4:BE4"/>
    <mergeCell ref="Z4:AI4"/>
    <mergeCell ref="O4:X4"/>
    <mergeCell ref="D4:M4"/>
    <mergeCell ref="AK4:AT4"/>
    <mergeCell ref="B30:C30"/>
    <mergeCell ref="A29:C29"/>
    <mergeCell ref="A24:A26"/>
    <mergeCell ref="B24:B26"/>
    <mergeCell ref="B27:B28"/>
    <mergeCell ref="B21:B23"/>
    <mergeCell ref="B19:B20"/>
    <mergeCell ref="A15:A16"/>
    <mergeCell ref="C65:C66"/>
    <mergeCell ref="C70:C71"/>
    <mergeCell ref="C53:C54"/>
    <mergeCell ref="C55:C56"/>
    <mergeCell ref="C57:C58"/>
    <mergeCell ref="C59:C61"/>
    <mergeCell ref="C62:C64"/>
    <mergeCell ref="C51:C52"/>
    <mergeCell ref="B37:C37"/>
    <mergeCell ref="B38:C38"/>
    <mergeCell ref="C47:C48"/>
    <mergeCell ref="B36:C36"/>
    <mergeCell ref="A41:AK41"/>
    <mergeCell ref="A9:A10"/>
    <mergeCell ref="A13:A14"/>
    <mergeCell ref="A11:A12"/>
    <mergeCell ref="B17:B18"/>
    <mergeCell ref="B15:B16"/>
  </mergeCells>
  <phoneticPr fontId="0" type="noConversion"/>
  <printOptions horizontalCentered="1"/>
  <pageMargins left="0.25" right="0.25" top="0.25" bottom="0.25" header="0.5" footer="0.5"/>
  <pageSetup scale="35" orientation="landscape" r:id="rId1"/>
  <headerFooter alignWithMargins="0">
    <oddHeader>&amp;L&amp;"Calibri"&amp;9&amp;K000000Micron Confidential&amp;1#</oddHeader>
  </headerFooter>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R37"/>
  <sheetViews>
    <sheetView showGridLines="0" topLeftCell="A4" zoomScaleNormal="100" workbookViewId="0">
      <selection activeCell="B12" sqref="B12"/>
    </sheetView>
  </sheetViews>
  <sheetFormatPr baseColWidth="10" defaultColWidth="8.6640625" defaultRowHeight="13.2"/>
  <cols>
    <col min="1" max="1" width="11" customWidth="1"/>
    <col min="2" max="2" width="59.33203125" customWidth="1"/>
    <col min="3" max="3" width="9.5546875" customWidth="1"/>
    <col min="4" max="4" width="7.6640625" customWidth="1"/>
    <col min="5" max="5" width="47.33203125" customWidth="1"/>
    <col min="6" max="6" width="3.6640625" hidden="1" customWidth="1"/>
    <col min="7" max="7" width="3.33203125" style="135" hidden="1" customWidth="1"/>
    <col min="8" max="8" width="4" style="135" hidden="1" customWidth="1"/>
    <col min="9" max="9" width="3.5546875" style="135" hidden="1" customWidth="1"/>
    <col min="10" max="10" width="4.5546875" style="135" hidden="1" customWidth="1"/>
    <col min="11" max="11" width="3.33203125" style="135" hidden="1" customWidth="1"/>
    <col min="12" max="12" width="3.6640625" style="135" hidden="1" customWidth="1"/>
    <col min="13" max="13" width="5.33203125" style="135" hidden="1" customWidth="1"/>
    <col min="14" max="14" width="2.5546875" customWidth="1"/>
    <col min="15" max="15" width="3.6640625" customWidth="1"/>
    <col min="16" max="16" width="4.6640625" customWidth="1"/>
    <col min="17" max="49" width="8.6640625" customWidth="1"/>
  </cols>
  <sheetData>
    <row r="1" spans="1:18">
      <c r="A1" s="20"/>
      <c r="G1" s="135">
        <v>2</v>
      </c>
      <c r="H1" s="135">
        <v>6</v>
      </c>
      <c r="I1" s="135">
        <v>2</v>
      </c>
      <c r="J1" s="136"/>
      <c r="K1" s="136">
        <v>3</v>
      </c>
      <c r="L1" s="136"/>
      <c r="M1" s="136"/>
      <c r="N1" s="3"/>
      <c r="O1" s="3"/>
    </row>
    <row r="2" spans="1:18" ht="118.8">
      <c r="H2" s="135" t="s">
        <v>48</v>
      </c>
      <c r="I2" s="135" t="s">
        <v>102</v>
      </c>
      <c r="J2" s="136"/>
      <c r="K2" s="136" t="s">
        <v>97</v>
      </c>
      <c r="L2" s="136"/>
      <c r="M2" s="136"/>
      <c r="N2" s="3"/>
      <c r="O2" s="3"/>
    </row>
    <row r="3" spans="1:18" ht="39.6">
      <c r="G3" s="135" t="s">
        <v>161</v>
      </c>
      <c r="H3" s="137" t="str">
        <f>'DDR3 Spec'!D5</f>
        <v>-093E</v>
      </c>
      <c r="I3" s="137" t="s">
        <v>217</v>
      </c>
      <c r="J3" s="136">
        <v>1</v>
      </c>
      <c r="K3" s="136" t="s">
        <v>100</v>
      </c>
      <c r="L3" s="136">
        <v>4</v>
      </c>
      <c r="M3" s="136"/>
      <c r="N3" s="3"/>
      <c r="O3" s="3"/>
    </row>
    <row r="4" spans="1:18" ht="39.6">
      <c r="G4" s="135" t="s">
        <v>205</v>
      </c>
      <c r="H4" s="135" t="str">
        <f>'DDR3 Spec'!E5</f>
        <v>-093</v>
      </c>
      <c r="I4" s="137" t="s">
        <v>218</v>
      </c>
      <c r="J4" s="136">
        <v>1</v>
      </c>
      <c r="K4" s="136" t="s">
        <v>101</v>
      </c>
      <c r="L4" s="136">
        <v>8</v>
      </c>
      <c r="M4" s="136"/>
      <c r="N4" s="3"/>
      <c r="O4" s="3"/>
    </row>
    <row r="5" spans="1:18" ht="41.4">
      <c r="A5" s="264" t="str">
        <f>_xlfn.CONCAT(IF(K12=1,"DDR3","DDR3L")," SDRAM Configuration")</f>
        <v>DDR3 SDRAM Configuration</v>
      </c>
      <c r="B5" s="265"/>
      <c r="C5" s="265"/>
      <c r="D5" s="265"/>
      <c r="G5" s="135" t="s">
        <v>206</v>
      </c>
      <c r="H5" s="135" t="str">
        <f>'DDR3 Spec'!F5</f>
        <v>-107E</v>
      </c>
      <c r="J5" s="136">
        <v>2</v>
      </c>
      <c r="K5" s="138" t="s">
        <v>99</v>
      </c>
      <c r="L5" s="136">
        <v>16</v>
      </c>
      <c r="M5" s="136"/>
      <c r="N5" s="3"/>
      <c r="O5" s="3"/>
    </row>
    <row r="6" spans="1:18" ht="15" customHeight="1" thickBot="1">
      <c r="A6" s="14"/>
      <c r="B6" s="14"/>
      <c r="C6" s="14"/>
      <c r="D6" s="14"/>
      <c r="G6" s="135" t="s">
        <v>316</v>
      </c>
      <c r="H6" s="137" t="str">
        <f>'DDR3 Spec'!G5</f>
        <v>-107</v>
      </c>
    </row>
    <row r="7" spans="1:18" ht="18.75" customHeight="1" thickBot="1">
      <c r="A7" s="14"/>
      <c r="B7" s="237" t="s">
        <v>53</v>
      </c>
      <c r="C7" s="238" t="str">
        <f>INDEX(G3:G7,G1)</f>
        <v>2Gb</v>
      </c>
      <c r="D7" s="239"/>
      <c r="G7" s="235" t="s">
        <v>317</v>
      </c>
      <c r="H7" s="137" t="str">
        <f>'DDR3 Spec'!H5</f>
        <v>-125E</v>
      </c>
      <c r="L7" s="135" t="s">
        <v>325</v>
      </c>
      <c r="M7" s="235" t="s">
        <v>326</v>
      </c>
    </row>
    <row r="8" spans="1:18" ht="18.75" customHeight="1" thickBot="1">
      <c r="A8" s="14"/>
      <c r="B8" s="237" t="s">
        <v>59</v>
      </c>
      <c r="C8" s="240">
        <f>INDEX(L3:L5,K1)</f>
        <v>16</v>
      </c>
      <c r="D8" s="239"/>
      <c r="H8" s="135" t="str">
        <f>'DDR3 Spec'!I5</f>
        <v>-125</v>
      </c>
      <c r="K8" s="235" t="s">
        <v>323</v>
      </c>
      <c r="L8" s="135">
        <v>1.575</v>
      </c>
      <c r="M8" s="135">
        <v>1.425</v>
      </c>
    </row>
    <row r="9" spans="1:18" ht="18.75" customHeight="1" thickBot="1">
      <c r="A9" s="14"/>
      <c r="B9" s="237" t="s">
        <v>48</v>
      </c>
      <c r="C9" s="241" t="str">
        <f>INDEX(H3:H12,H1)</f>
        <v>-125</v>
      </c>
      <c r="D9" s="239"/>
      <c r="H9" s="135" t="str">
        <f>'DDR3 Spec'!J5</f>
        <v>-15E</v>
      </c>
      <c r="K9" s="235" t="s">
        <v>324</v>
      </c>
      <c r="L9" s="135">
        <v>1.4350000000000001</v>
      </c>
      <c r="M9" s="135">
        <v>1.2829999999999999</v>
      </c>
    </row>
    <row r="10" spans="1:18" ht="18.75" customHeight="1" thickBot="1">
      <c r="A10" s="14"/>
      <c r="B10" s="237" t="s">
        <v>322</v>
      </c>
      <c r="C10" s="240"/>
      <c r="D10" s="239"/>
      <c r="H10" s="135" t="str">
        <f>'DDR3 Spec'!K5</f>
        <v>-187E</v>
      </c>
      <c r="R10" s="236"/>
    </row>
    <row r="11" spans="1:18" ht="19.2" customHeight="1" thickBot="1">
      <c r="A11" s="14"/>
      <c r="B11" s="237" t="s">
        <v>219</v>
      </c>
      <c r="C11" s="240"/>
      <c r="D11" s="239"/>
      <c r="H11" s="135" t="str">
        <f>'DDR3 Spec'!L5</f>
        <v>-187</v>
      </c>
    </row>
    <row r="12" spans="1:18">
      <c r="A12" s="14"/>
      <c r="H12" s="135" t="str">
        <f>'DDR3 Spec'!M5</f>
        <v>-25</v>
      </c>
      <c r="K12" s="242">
        <v>1</v>
      </c>
    </row>
    <row r="13" spans="1:18" ht="13.8" thickBot="1">
      <c r="A13" s="14"/>
      <c r="B13" s="14"/>
      <c r="C13" s="15"/>
      <c r="D13" s="14"/>
      <c r="H13" s="139" t="s">
        <v>250</v>
      </c>
    </row>
    <row r="14" spans="1:18" ht="16.2" customHeight="1">
      <c r="A14" s="69" t="s">
        <v>51</v>
      </c>
      <c r="B14" s="70" t="s">
        <v>52</v>
      </c>
      <c r="C14" s="71" t="s">
        <v>49</v>
      </c>
      <c r="D14" s="72" t="s">
        <v>50</v>
      </c>
      <c r="H14" s="139" t="s">
        <v>250</v>
      </c>
    </row>
    <row r="15" spans="1:18" ht="13.8">
      <c r="A15" s="45"/>
      <c r="B15" s="46" t="s">
        <v>232</v>
      </c>
      <c r="C15" s="73">
        <f>IF(K12=1,L8,L9)</f>
        <v>1.575</v>
      </c>
      <c r="D15" s="79" t="s">
        <v>12</v>
      </c>
      <c r="E15" s="1"/>
      <c r="F15" s="1"/>
      <c r="G15" s="137"/>
    </row>
    <row r="16" spans="1:18" ht="13.8">
      <c r="A16" s="45"/>
      <c r="B16" s="46" t="s">
        <v>233</v>
      </c>
      <c r="C16" s="73">
        <f>IF(K12=1,M8,M9)</f>
        <v>1.425</v>
      </c>
      <c r="D16" s="79" t="s">
        <v>12</v>
      </c>
      <c r="E16" s="1"/>
      <c r="F16" s="1"/>
      <c r="G16" s="137"/>
    </row>
    <row r="17" spans="1:10" ht="13.8">
      <c r="A17" s="45"/>
      <c r="B17" s="46"/>
      <c r="C17" s="73"/>
      <c r="D17" s="79"/>
      <c r="E17" s="1"/>
      <c r="F17" s="1"/>
      <c r="G17" s="137"/>
    </row>
    <row r="18" spans="1:10" ht="13.8">
      <c r="A18" s="45"/>
      <c r="B18" s="46" t="s">
        <v>153</v>
      </c>
      <c r="C18" s="74">
        <f>INDEX(J3:J5,K1)*2</f>
        <v>4</v>
      </c>
      <c r="D18" s="79"/>
      <c r="E18" s="1"/>
      <c r="F18" s="1"/>
      <c r="G18" s="137"/>
    </row>
    <row r="19" spans="1:10" ht="13.8">
      <c r="A19" s="45"/>
      <c r="B19" s="46" t="s">
        <v>154</v>
      </c>
      <c r="C19" s="74">
        <f>INDEX(J3:J5,K1)</f>
        <v>2</v>
      </c>
      <c r="D19" s="79"/>
      <c r="E19" s="1"/>
      <c r="F19" s="1"/>
      <c r="G19" s="137"/>
      <c r="J19" s="139" t="s">
        <v>250</v>
      </c>
    </row>
    <row r="20" spans="1:10" ht="13.8">
      <c r="A20" s="45"/>
      <c r="B20" s="46"/>
      <c r="C20" s="73"/>
      <c r="D20" s="79"/>
      <c r="E20" s="1"/>
      <c r="F20" s="1"/>
      <c r="G20" s="137"/>
    </row>
    <row r="21" spans="1:10" ht="13.8">
      <c r="A21" s="45" t="s">
        <v>220</v>
      </c>
      <c r="B21" s="46" t="s">
        <v>142</v>
      </c>
      <c r="C21" s="233">
        <f>'DDR3 Spec'!L83</f>
        <v>49</v>
      </c>
      <c r="D21" s="79" t="s">
        <v>13</v>
      </c>
    </row>
    <row r="22" spans="1:10" ht="13.8">
      <c r="A22" s="45" t="s">
        <v>234</v>
      </c>
      <c r="B22" s="46" t="s">
        <v>143</v>
      </c>
      <c r="C22" s="233">
        <f>'DDR3 Spec'!L84</f>
        <v>15</v>
      </c>
      <c r="D22" s="79" t="s">
        <v>13</v>
      </c>
    </row>
    <row r="23" spans="1:10" ht="13.8">
      <c r="A23" s="45" t="s">
        <v>223</v>
      </c>
      <c r="B23" s="46" t="s">
        <v>144</v>
      </c>
      <c r="C23" s="233">
        <f>'DDR3 Spec'!L85</f>
        <v>23</v>
      </c>
      <c r="D23" s="79" t="s">
        <v>13</v>
      </c>
    </row>
    <row r="24" spans="1:10" ht="13.8">
      <c r="A24" s="45" t="s">
        <v>224</v>
      </c>
      <c r="B24" s="46" t="s">
        <v>145</v>
      </c>
      <c r="C24" s="233">
        <f>'DDR3 Spec'!L88</f>
        <v>22</v>
      </c>
      <c r="D24" s="79" t="s">
        <v>13</v>
      </c>
      <c r="E24" s="14"/>
      <c r="F24" s="14"/>
    </row>
    <row r="25" spans="1:10" ht="13.8">
      <c r="A25" s="45" t="s">
        <v>225</v>
      </c>
      <c r="B25" s="46" t="s">
        <v>146</v>
      </c>
      <c r="C25" s="233">
        <f>'DDR3 Spec'!L89</f>
        <v>37</v>
      </c>
      <c r="D25" s="79" t="s">
        <v>13</v>
      </c>
    </row>
    <row r="26" spans="1:10" ht="13.8">
      <c r="A26" s="45" t="s">
        <v>226</v>
      </c>
      <c r="B26" s="46" t="s">
        <v>147</v>
      </c>
      <c r="C26" s="233">
        <f>'DDR3 Spec'!L90</f>
        <v>135</v>
      </c>
      <c r="D26" s="79" t="s">
        <v>13</v>
      </c>
    </row>
    <row r="27" spans="1:10" ht="13.8">
      <c r="A27" s="45" t="s">
        <v>227</v>
      </c>
      <c r="B27" s="46" t="s">
        <v>148</v>
      </c>
      <c r="C27" s="233">
        <f>'DDR3 Spec'!L91</f>
        <v>146</v>
      </c>
      <c r="D27" s="79" t="s">
        <v>13</v>
      </c>
    </row>
    <row r="28" spans="1:10" ht="13.8">
      <c r="A28" s="45" t="s">
        <v>228</v>
      </c>
      <c r="B28" s="46" t="s">
        <v>149</v>
      </c>
      <c r="C28" s="233">
        <f>'DDR3 Spec'!L92</f>
        <v>182</v>
      </c>
      <c r="D28" s="79" t="s">
        <v>13</v>
      </c>
    </row>
    <row r="29" spans="1:10" ht="13.8">
      <c r="A29" s="45"/>
      <c r="B29" s="46"/>
      <c r="C29" s="74"/>
      <c r="D29" s="79"/>
    </row>
    <row r="30" spans="1:10" ht="16.2">
      <c r="A30" s="45"/>
      <c r="B30" s="68" t="s">
        <v>188</v>
      </c>
      <c r="C30" s="73">
        <f>'DDR3 Spec'!L94</f>
        <v>1.25</v>
      </c>
      <c r="D30" s="79" t="s">
        <v>36</v>
      </c>
    </row>
    <row r="31" spans="1:10" ht="16.2">
      <c r="A31" s="75" t="s">
        <v>189</v>
      </c>
      <c r="B31" s="46" t="s">
        <v>1</v>
      </c>
      <c r="C31" s="73">
        <f>'DDR3 Spec'!L95</f>
        <v>7.5</v>
      </c>
      <c r="D31" s="79" t="s">
        <v>36</v>
      </c>
    </row>
    <row r="32" spans="1:10" ht="16.2">
      <c r="A32" s="75" t="s">
        <v>190</v>
      </c>
      <c r="B32" s="46" t="s">
        <v>150</v>
      </c>
      <c r="C32" s="73">
        <f>'DDR3 Spec'!L96</f>
        <v>48.75</v>
      </c>
      <c r="D32" s="79" t="s">
        <v>36</v>
      </c>
    </row>
    <row r="33" spans="1:4" ht="16.2">
      <c r="A33" s="75" t="s">
        <v>191</v>
      </c>
      <c r="B33" s="68" t="s">
        <v>236</v>
      </c>
      <c r="C33" s="73">
        <f>'DDR3 Spec'!L97</f>
        <v>35</v>
      </c>
      <c r="D33" s="79" t="s">
        <v>36</v>
      </c>
    </row>
    <row r="34" spans="1:4" ht="16.2">
      <c r="A34" s="75" t="s">
        <v>193</v>
      </c>
      <c r="B34" s="46" t="s">
        <v>151</v>
      </c>
      <c r="C34" s="73">
        <f>'DDR3 Spec'!L98</f>
        <v>160</v>
      </c>
      <c r="D34" s="79" t="s">
        <v>36</v>
      </c>
    </row>
    <row r="35" spans="1:4" ht="16.2">
      <c r="A35" s="75" t="s">
        <v>194</v>
      </c>
      <c r="B35" s="46" t="s">
        <v>92</v>
      </c>
      <c r="C35" s="73">
        <f>'DDR3 Spec'!L99</f>
        <v>7.8</v>
      </c>
      <c r="D35" s="79" t="s">
        <v>201</v>
      </c>
    </row>
    <row r="36" spans="1:4" ht="16.2">
      <c r="A36" s="75" t="s">
        <v>229</v>
      </c>
      <c r="B36" s="46" t="s">
        <v>196</v>
      </c>
      <c r="C36" s="73">
        <f>'DDR3 Spec'!L100</f>
        <v>1.25</v>
      </c>
      <c r="D36" s="79" t="s">
        <v>36</v>
      </c>
    </row>
    <row r="37" spans="1:4" ht="16.8" thickBot="1">
      <c r="A37" s="76" t="s">
        <v>235</v>
      </c>
      <c r="B37" s="77" t="s">
        <v>198</v>
      </c>
      <c r="C37" s="78">
        <f>'DDR3 Spec'!L101</f>
        <v>3.3</v>
      </c>
      <c r="D37" s="80" t="s">
        <v>36</v>
      </c>
    </row>
  </sheetData>
  <sheetProtection selectLockedCells="1" selectUnlockedCells="1"/>
  <protectedRanges>
    <protectedRange sqref="C15:C37" name="Range1"/>
  </protectedRanges>
  <mergeCells count="1">
    <mergeCell ref="A5:D5"/>
  </mergeCells>
  <phoneticPr fontId="0" type="noConversion"/>
  <printOptions horizontalCentered="1"/>
  <pageMargins left="0.25" right="0.25" top="0.25" bottom="0.25" header="0.5" footer="0.5"/>
  <pageSetup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098" r:id="rId4" name="Drop Down 2">
              <controlPr defaultSize="0" autoFill="0" autoLine="0" autoPict="0">
                <anchor moveWithCells="1">
                  <from>
                    <xdr:col>2</xdr:col>
                    <xdr:colOff>0</xdr:colOff>
                    <xdr:row>7</xdr:row>
                    <xdr:rowOff>0</xdr:rowOff>
                  </from>
                  <to>
                    <xdr:col>3</xdr:col>
                    <xdr:colOff>518160</xdr:colOff>
                    <xdr:row>8</xdr:row>
                    <xdr:rowOff>0</xdr:rowOff>
                  </to>
                </anchor>
              </controlPr>
            </control>
          </mc:Choice>
        </mc:AlternateContent>
        <mc:AlternateContent xmlns:mc="http://schemas.openxmlformats.org/markup-compatibility/2006">
          <mc:Choice Requires="x14">
            <control shapeId="4100" r:id="rId5" name="Drop Down 4">
              <controlPr defaultSize="0" autoFill="0" autoLine="0" autoPict="0" macro="[0]!DropDown4_Change">
                <anchor moveWithCells="1">
                  <from>
                    <xdr:col>2</xdr:col>
                    <xdr:colOff>0</xdr:colOff>
                    <xdr:row>8</xdr:row>
                    <xdr:rowOff>0</xdr:rowOff>
                  </from>
                  <to>
                    <xdr:col>3</xdr:col>
                    <xdr:colOff>518160</xdr:colOff>
                    <xdr:row>9</xdr:row>
                    <xdr:rowOff>0</xdr:rowOff>
                  </to>
                </anchor>
              </controlPr>
            </control>
          </mc:Choice>
        </mc:AlternateContent>
        <mc:AlternateContent xmlns:mc="http://schemas.openxmlformats.org/markup-compatibility/2006">
          <mc:Choice Requires="x14">
            <control shapeId="4102" r:id="rId6" name="Drop Down 6">
              <controlPr defaultSize="0" autoFill="0" autoLine="0" autoPict="0">
                <anchor moveWithCells="1">
                  <from>
                    <xdr:col>2</xdr:col>
                    <xdr:colOff>0</xdr:colOff>
                    <xdr:row>6</xdr:row>
                    <xdr:rowOff>0</xdr:rowOff>
                  </from>
                  <to>
                    <xdr:col>3</xdr:col>
                    <xdr:colOff>518160</xdr:colOff>
                    <xdr:row>7</xdr:row>
                    <xdr:rowOff>0</xdr:rowOff>
                  </to>
                </anchor>
              </controlPr>
            </control>
          </mc:Choice>
        </mc:AlternateContent>
        <mc:AlternateContent xmlns:mc="http://schemas.openxmlformats.org/markup-compatibility/2006">
          <mc:Choice Requires="x14">
            <control shapeId="4993" r:id="rId7" name="Drop Down 897">
              <controlPr defaultSize="0" autoFill="0" autoLine="0" autoPict="0">
                <anchor moveWithCells="1">
                  <from>
                    <xdr:col>2</xdr:col>
                    <xdr:colOff>0</xdr:colOff>
                    <xdr:row>7</xdr:row>
                    <xdr:rowOff>0</xdr:rowOff>
                  </from>
                  <to>
                    <xdr:col>3</xdr:col>
                    <xdr:colOff>518160</xdr:colOff>
                    <xdr:row>8</xdr:row>
                    <xdr:rowOff>0</xdr:rowOff>
                  </to>
                </anchor>
              </controlPr>
            </control>
          </mc:Choice>
        </mc:AlternateContent>
        <mc:AlternateContent xmlns:mc="http://schemas.openxmlformats.org/markup-compatibility/2006">
          <mc:Choice Requires="x14">
            <control shapeId="4994" r:id="rId8" name="Drop Down 898">
              <controlPr defaultSize="0" autoFill="0" autoLine="0" autoPict="0">
                <anchor moveWithCells="1">
                  <from>
                    <xdr:col>2</xdr:col>
                    <xdr:colOff>0</xdr:colOff>
                    <xdr:row>8</xdr:row>
                    <xdr:rowOff>0</xdr:rowOff>
                  </from>
                  <to>
                    <xdr:col>3</xdr:col>
                    <xdr:colOff>518160</xdr:colOff>
                    <xdr:row>9</xdr:row>
                    <xdr:rowOff>0</xdr:rowOff>
                  </to>
                </anchor>
              </controlPr>
            </control>
          </mc:Choice>
        </mc:AlternateContent>
        <mc:AlternateContent xmlns:mc="http://schemas.openxmlformats.org/markup-compatibility/2006">
          <mc:Choice Requires="x14">
            <control shapeId="4997" r:id="rId9" name="Drop Down 901">
              <controlPr defaultSize="0" autoFill="0" autoLine="0" autoPict="0">
                <anchor moveWithCells="1">
                  <from>
                    <xdr:col>2</xdr:col>
                    <xdr:colOff>0</xdr:colOff>
                    <xdr:row>10</xdr:row>
                    <xdr:rowOff>0</xdr:rowOff>
                  </from>
                  <to>
                    <xdr:col>3</xdr:col>
                    <xdr:colOff>518160</xdr:colOff>
                    <xdr:row>10</xdr:row>
                    <xdr:rowOff>228600</xdr:rowOff>
                  </to>
                </anchor>
              </controlPr>
            </control>
          </mc:Choice>
        </mc:AlternateContent>
        <mc:AlternateContent xmlns:mc="http://schemas.openxmlformats.org/markup-compatibility/2006">
          <mc:Choice Requires="x14">
            <control shapeId="5000" r:id="rId10" name="Drop Down 904">
              <controlPr defaultSize="0" autoLine="0" autoPict="0" altText="">
                <anchor moveWithCells="1">
                  <from>
                    <xdr:col>2</xdr:col>
                    <xdr:colOff>22860</xdr:colOff>
                    <xdr:row>9</xdr:row>
                    <xdr:rowOff>22860</xdr:rowOff>
                  </from>
                  <to>
                    <xdr:col>3</xdr:col>
                    <xdr:colOff>518160</xdr:colOff>
                    <xdr:row>10</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AN45"/>
  <sheetViews>
    <sheetView showGridLines="0" zoomScale="75" workbookViewId="0">
      <selection activeCell="C9" sqref="C9"/>
    </sheetView>
  </sheetViews>
  <sheetFormatPr baseColWidth="10" defaultColWidth="9.33203125" defaultRowHeight="13.2"/>
  <cols>
    <col min="1" max="1" width="15.44140625" style="217" customWidth="1"/>
    <col min="2" max="2" width="46.33203125" style="142" customWidth="1"/>
    <col min="3" max="3" width="19.44140625" style="142" bestFit="1" customWidth="1"/>
    <col min="4" max="4" width="5.6640625" style="218" customWidth="1"/>
    <col min="5" max="5" width="39.33203125" style="142" customWidth="1"/>
    <col min="6" max="6" width="1.6640625" style="219" customWidth="1"/>
    <col min="7" max="7" width="4.33203125" style="142" customWidth="1"/>
    <col min="8" max="8" width="9.6640625" style="142" customWidth="1"/>
    <col min="9" max="9" width="7.6640625" style="142" customWidth="1"/>
    <col min="10" max="10" width="9.6640625" style="142" customWidth="1"/>
    <col min="11" max="11" width="7.6640625" style="142" customWidth="1"/>
    <col min="12" max="12" width="9.6640625" style="142" customWidth="1"/>
    <col min="13" max="13" width="9" style="142" customWidth="1"/>
    <col min="14" max="14" width="5.6640625" style="142" customWidth="1"/>
    <col min="15" max="15" width="4.6640625" style="142" customWidth="1"/>
    <col min="16" max="16" width="9.6640625" style="142" customWidth="1"/>
    <col min="17" max="17" width="7.6640625" style="142" customWidth="1"/>
    <col min="18" max="18" width="9.6640625" style="142" customWidth="1"/>
    <col min="19" max="19" width="7.6640625" style="142" customWidth="1"/>
    <col min="20" max="20" width="9.6640625" style="142" customWidth="1"/>
    <col min="21" max="21" width="7.6640625" style="142" customWidth="1"/>
    <col min="22" max="22" width="6.88671875" style="142" customWidth="1"/>
    <col min="23" max="23" width="7.5546875" style="142" hidden="1" customWidth="1"/>
    <col min="24" max="25" width="11" style="142" hidden="1" customWidth="1"/>
    <col min="26" max="26" width="3.5546875" style="142" hidden="1" customWidth="1"/>
    <col min="27" max="28" width="11" style="142" hidden="1" customWidth="1"/>
    <col min="29" max="29" width="4" style="142" hidden="1" customWidth="1"/>
    <col min="30" max="35" width="11" style="142" hidden="1" customWidth="1"/>
    <col min="36" max="40" width="11" style="142" customWidth="1"/>
    <col min="41" max="16384" width="9.33203125" style="142"/>
  </cols>
  <sheetData>
    <row r="1" spans="1:40">
      <c r="B1" s="21"/>
    </row>
    <row r="3" spans="1:40" ht="13.8" thickBot="1"/>
    <row r="4" spans="1:40" s="157" customFormat="1" ht="21.75" customHeight="1" thickBot="1">
      <c r="A4" s="156"/>
      <c r="D4" s="158"/>
      <c r="F4" s="159"/>
      <c r="G4" s="270" t="s">
        <v>291</v>
      </c>
      <c r="H4" s="271"/>
      <c r="I4" s="271"/>
      <c r="J4" s="271"/>
      <c r="K4" s="271"/>
      <c r="L4" s="271"/>
      <c r="M4" s="271"/>
      <c r="N4" s="272"/>
      <c r="O4" s="270" t="s">
        <v>292</v>
      </c>
      <c r="P4" s="273"/>
      <c r="Q4" s="273"/>
      <c r="R4" s="273"/>
      <c r="S4" s="273"/>
      <c r="T4" s="273"/>
      <c r="U4" s="273"/>
      <c r="V4" s="274"/>
    </row>
    <row r="5" spans="1:40" ht="22.8">
      <c r="A5" s="129"/>
      <c r="B5" s="130" t="s">
        <v>19</v>
      </c>
      <c r="C5" s="131"/>
      <c r="D5" s="131"/>
      <c r="E5" s="131"/>
      <c r="G5" s="220"/>
      <c r="H5" s="221"/>
      <c r="I5" s="221"/>
      <c r="J5" s="221"/>
      <c r="K5" s="221"/>
      <c r="L5" s="221"/>
      <c r="M5" s="221"/>
      <c r="N5" s="222"/>
      <c r="O5" s="220"/>
      <c r="V5" s="223"/>
    </row>
    <row r="6" spans="1:40" ht="12.6" customHeight="1" thickBot="1">
      <c r="A6" s="129"/>
      <c r="B6" s="130"/>
      <c r="C6" s="131"/>
      <c r="D6" s="131"/>
      <c r="E6" s="131"/>
      <c r="F6" s="142"/>
      <c r="G6" s="224"/>
      <c r="N6" s="223"/>
      <c r="O6" s="224"/>
      <c r="V6" s="223"/>
    </row>
    <row r="7" spans="1:40" ht="13.8">
      <c r="B7" s="81" t="s">
        <v>237</v>
      </c>
      <c r="C7" s="82">
        <v>1.5</v>
      </c>
      <c r="D7" s="83" t="s">
        <v>12</v>
      </c>
      <c r="E7" s="84" t="str">
        <f>IF(C7&lt;'DDR3 Config'!C16,"ERROR, VCC too Low",IF(C7&gt;'DDR3 Config'!C15,"ERROR, too High",""))</f>
        <v/>
      </c>
      <c r="F7" s="142"/>
      <c r="G7" s="224"/>
      <c r="N7" s="223"/>
      <c r="O7" s="224"/>
      <c r="V7" s="223"/>
    </row>
    <row r="8" spans="1:40" ht="13.8">
      <c r="B8" s="86" t="s">
        <v>155</v>
      </c>
      <c r="C8" s="87">
        <v>400</v>
      </c>
      <c r="D8" s="88" t="s">
        <v>11</v>
      </c>
      <c r="E8" s="89" t="str">
        <f>IF(C8+1&lt;1000/'DDR3 Config'!C37,"ERROR, lower of operaitonal frequency range",IF(C8 &gt; 1000 /'DDR3 Config'!C36,"ERROR, higher of operaitonal frequency range",""))</f>
        <v/>
      </c>
      <c r="F8" s="142"/>
      <c r="G8" s="224"/>
      <c r="N8" s="223"/>
      <c r="O8" s="224"/>
      <c r="V8" s="223"/>
    </row>
    <row r="9" spans="1:40" ht="13.8">
      <c r="B9" s="86" t="s">
        <v>156</v>
      </c>
      <c r="C9" s="87">
        <v>8</v>
      </c>
      <c r="D9" s="88"/>
      <c r="E9" s="90" t="s">
        <v>63</v>
      </c>
      <c r="F9" s="142"/>
      <c r="G9" s="224"/>
      <c r="N9" s="223"/>
      <c r="O9" s="224"/>
      <c r="V9" s="223"/>
    </row>
    <row r="10" spans="1:40" ht="14.4" thickBot="1">
      <c r="B10" s="86"/>
      <c r="C10" s="91"/>
      <c r="D10" s="88"/>
      <c r="E10" s="90"/>
      <c r="F10" s="142"/>
      <c r="G10" s="224"/>
      <c r="N10" s="223"/>
      <c r="O10" s="224"/>
      <c r="V10" s="223"/>
    </row>
    <row r="11" spans="1:40" ht="30" customHeight="1">
      <c r="A11" s="106" t="s">
        <v>84</v>
      </c>
      <c r="B11" s="92" t="s">
        <v>286</v>
      </c>
      <c r="C11" s="152">
        <f>IF(K18= "na",0, K18) +IF(K19= "na",0, K19)</f>
        <v>5.4514886305672654</v>
      </c>
      <c r="D11" s="88" t="s">
        <v>10</v>
      </c>
      <c r="E11" s="275" t="s">
        <v>284</v>
      </c>
      <c r="F11" s="142"/>
      <c r="G11" s="224"/>
      <c r="N11" s="223"/>
      <c r="O11" s="224"/>
      <c r="V11" s="223"/>
    </row>
    <row r="12" spans="1:40" ht="30" customHeight="1">
      <c r="A12" s="107" t="s">
        <v>85</v>
      </c>
      <c r="B12" s="92" t="s">
        <v>285</v>
      </c>
      <c r="C12" s="152">
        <f>IF(S18= "na",0, S18) +IF(S19= "na",0, S19)</f>
        <v>20.623755928036896</v>
      </c>
      <c r="D12" s="88" t="s">
        <v>10</v>
      </c>
      <c r="E12" s="276"/>
      <c r="F12" s="85"/>
      <c r="G12" s="224"/>
      <c r="H12" s="18" t="s">
        <v>289</v>
      </c>
      <c r="N12" s="223"/>
      <c r="O12" s="224"/>
      <c r="P12" s="18" t="s">
        <v>289</v>
      </c>
      <c r="V12" s="223"/>
    </row>
    <row r="13" spans="1:40" ht="30" customHeight="1">
      <c r="A13" s="107" t="s">
        <v>87</v>
      </c>
      <c r="B13" s="92" t="s">
        <v>287</v>
      </c>
      <c r="C13" s="152">
        <f>IF(M18= "na",0, M18) +IF(M19= "na",0, M19)</f>
        <v>29.678594669847321</v>
      </c>
      <c r="D13" s="88" t="s">
        <v>10</v>
      </c>
      <c r="E13" s="275" t="s">
        <v>283</v>
      </c>
      <c r="F13" s="85"/>
      <c r="G13" s="224"/>
      <c r="H13" s="143" t="s">
        <v>260</v>
      </c>
      <c r="I13" s="145">
        <v>120</v>
      </c>
      <c r="J13" s="143" t="s">
        <v>258</v>
      </c>
      <c r="K13" s="145">
        <v>34</v>
      </c>
      <c r="L13" s="143" t="s">
        <v>262</v>
      </c>
      <c r="M13" s="145">
        <v>40</v>
      </c>
      <c r="N13" s="223"/>
      <c r="O13" s="224"/>
      <c r="P13" s="143" t="s">
        <v>264</v>
      </c>
      <c r="Q13" s="145">
        <v>34</v>
      </c>
      <c r="R13" s="143" t="s">
        <v>266</v>
      </c>
      <c r="S13" s="145">
        <v>60</v>
      </c>
      <c r="T13" s="143" t="s">
        <v>262</v>
      </c>
      <c r="U13" s="234">
        <f>M13</f>
        <v>40</v>
      </c>
      <c r="V13" s="223"/>
      <c r="X13" s="225" t="s">
        <v>276</v>
      </c>
      <c r="Y13" s="226">
        <f>1*Q17/Q13</f>
        <v>14.635180995475114</v>
      </c>
      <c r="Z13" s="225"/>
      <c r="AA13" s="225" t="s">
        <v>278</v>
      </c>
      <c r="AB13" s="226">
        <f>1000*((Q15-0.001*S17)/S13)</f>
        <v>16.211821266968329</v>
      </c>
      <c r="AC13" s="225"/>
      <c r="AD13" s="225" t="s">
        <v>278</v>
      </c>
      <c r="AE13" s="226">
        <f>1000*((Q15-0.001*U17)/U13)</f>
        <v>22.35576923076923</v>
      </c>
      <c r="AF13" s="122"/>
      <c r="AG13" s="122"/>
      <c r="AH13" s="122"/>
      <c r="AI13" s="122"/>
      <c r="AJ13" s="122"/>
      <c r="AK13" s="122"/>
      <c r="AL13" s="122"/>
      <c r="AM13" s="122"/>
      <c r="AN13" s="122"/>
    </row>
    <row r="14" spans="1:40" ht="30" customHeight="1">
      <c r="A14" s="107" t="s">
        <v>86</v>
      </c>
      <c r="B14" s="92" t="s">
        <v>288</v>
      </c>
      <c r="C14" s="152">
        <f>IF(U18= "na",0, U18) +IF(U19= "na",0, U19)</f>
        <v>29.945220044378697</v>
      </c>
      <c r="D14" s="88" t="s">
        <v>10</v>
      </c>
      <c r="E14" s="276"/>
      <c r="F14" s="85"/>
      <c r="G14" s="224"/>
      <c r="H14" s="144" t="s">
        <v>261</v>
      </c>
      <c r="I14" s="146">
        <v>120</v>
      </c>
      <c r="J14" s="144" t="s">
        <v>259</v>
      </c>
      <c r="K14" s="146">
        <v>15</v>
      </c>
      <c r="L14" s="149" t="s">
        <v>263</v>
      </c>
      <c r="M14" s="150">
        <v>40</v>
      </c>
      <c r="N14" s="223"/>
      <c r="O14" s="224"/>
      <c r="P14" s="144" t="s">
        <v>250</v>
      </c>
      <c r="Q14" s="227"/>
      <c r="R14" s="149" t="s">
        <v>265</v>
      </c>
      <c r="S14" s="150">
        <v>60</v>
      </c>
      <c r="T14" s="149" t="s">
        <v>263</v>
      </c>
      <c r="U14" s="234">
        <f>M14</f>
        <v>40</v>
      </c>
      <c r="V14" s="223"/>
      <c r="X14" s="122"/>
      <c r="Y14" s="122"/>
      <c r="Z14" s="122"/>
      <c r="AA14" s="225" t="s">
        <v>277</v>
      </c>
      <c r="AB14" s="226">
        <f>1*S17/S14</f>
        <v>8.7881787330316747</v>
      </c>
      <c r="AC14" s="225"/>
      <c r="AD14" s="225" t="s">
        <v>277</v>
      </c>
      <c r="AE14" s="226">
        <f>1*U17/U14</f>
        <v>15.144230769230768</v>
      </c>
      <c r="AF14" s="122"/>
      <c r="AG14" s="122"/>
      <c r="AH14" s="122"/>
      <c r="AI14" s="122"/>
      <c r="AJ14" s="122"/>
      <c r="AK14" s="122"/>
      <c r="AL14" s="122"/>
      <c r="AM14" s="122"/>
      <c r="AN14" s="122"/>
    </row>
    <row r="15" spans="1:40" ht="18" customHeight="1">
      <c r="A15" s="107"/>
      <c r="B15" s="92"/>
      <c r="C15" s="94"/>
      <c r="D15" s="88"/>
      <c r="E15" s="95"/>
      <c r="F15" s="85"/>
      <c r="G15" s="224"/>
      <c r="H15" s="147" t="s">
        <v>269</v>
      </c>
      <c r="I15" s="228">
        <f>$C$7</f>
        <v>1.5</v>
      </c>
      <c r="J15" s="148"/>
      <c r="K15" s="148"/>
      <c r="L15" s="144" t="s">
        <v>272</v>
      </c>
      <c r="M15" s="146">
        <v>15</v>
      </c>
      <c r="N15" s="223"/>
      <c r="O15" s="224"/>
      <c r="P15" s="147" t="s">
        <v>269</v>
      </c>
      <c r="Q15" s="228">
        <f>$C$7</f>
        <v>1.5</v>
      </c>
      <c r="R15" s="144" t="s">
        <v>259</v>
      </c>
      <c r="S15" s="146">
        <v>4</v>
      </c>
      <c r="T15" s="144" t="s">
        <v>272</v>
      </c>
      <c r="U15" s="234">
        <f>M15</f>
        <v>15</v>
      </c>
      <c r="V15" s="223"/>
      <c r="X15" s="122"/>
      <c r="Y15" s="122"/>
      <c r="Z15" s="122"/>
      <c r="AA15" s="225" t="s">
        <v>279</v>
      </c>
      <c r="AB15" s="226">
        <f>1*(S17-Q17)/S15</f>
        <v>7.4236425339366434</v>
      </c>
      <c r="AC15" s="225"/>
      <c r="AD15" s="225" t="s">
        <v>279</v>
      </c>
      <c r="AE15" s="226">
        <f>1*(U17-Q17)/U15</f>
        <v>7.2115384615384563</v>
      </c>
      <c r="AF15" s="122"/>
      <c r="AG15" s="122"/>
      <c r="AH15" s="122"/>
      <c r="AI15" s="122"/>
      <c r="AJ15" s="122"/>
      <c r="AK15" s="122"/>
      <c r="AL15" s="122"/>
      <c r="AM15" s="122"/>
      <c r="AN15" s="122"/>
    </row>
    <row r="16" spans="1:40" ht="27.6">
      <c r="A16" s="107" t="s">
        <v>83</v>
      </c>
      <c r="B16" s="92" t="s">
        <v>157</v>
      </c>
      <c r="C16" s="96">
        <v>0.25</v>
      </c>
      <c r="D16" s="88"/>
      <c r="E16" s="95"/>
      <c r="F16" s="85"/>
      <c r="G16" s="224"/>
      <c r="H16" s="18" t="s">
        <v>290</v>
      </c>
      <c r="N16" s="223"/>
      <c r="O16" s="224"/>
      <c r="P16" s="18" t="s">
        <v>290</v>
      </c>
      <c r="S16" s="229"/>
      <c r="U16" s="229"/>
      <c r="V16" s="223"/>
      <c r="X16" s="122"/>
      <c r="Y16" s="122"/>
      <c r="Z16" s="122"/>
      <c r="AA16" s="122"/>
      <c r="AB16" s="122"/>
      <c r="AC16" s="122"/>
      <c r="AD16" s="122"/>
      <c r="AE16" s="122"/>
      <c r="AF16" s="122"/>
      <c r="AG16" s="122"/>
      <c r="AH16" s="122"/>
      <c r="AI16" s="122"/>
      <c r="AJ16" s="122"/>
      <c r="AK16" s="122"/>
      <c r="AL16" s="122"/>
      <c r="AM16" s="122"/>
      <c r="AN16" s="122"/>
    </row>
    <row r="17" spans="1:40" ht="27.6">
      <c r="A17" s="107" t="s">
        <v>133</v>
      </c>
      <c r="B17" s="92" t="s">
        <v>3</v>
      </c>
      <c r="C17" s="96">
        <v>0.25</v>
      </c>
      <c r="D17" s="88"/>
      <c r="E17" s="93"/>
      <c r="F17" s="85"/>
      <c r="G17" s="224"/>
      <c r="H17" s="151" t="s">
        <v>280</v>
      </c>
      <c r="I17" s="153">
        <f>IF(I15&gt;0,1000*((I15/2)*(K13+K14)/((K13+K14)+IF(M13&gt;0,IF(M14&gt;0,(((I13*I14)/(I13+I14))*((M13*M14)/(M13+M14)+M15)/((I13*I14)/(I13+I14)+((M13*M14)/(M13+M14)+M15))),(I13*I14)/(I13+I14)),(I13*I14)/(I13+I14)))),"na")</f>
        <v>516.83937823834196</v>
      </c>
      <c r="J17" s="151" t="s">
        <v>281</v>
      </c>
      <c r="K17" s="153">
        <f>IF(K13&gt;0,         1000* (       I17*0.001  *K13/(K13+K14)),"na")</f>
        <v>358.62324204293117</v>
      </c>
      <c r="L17" s="151" t="s">
        <v>282</v>
      </c>
      <c r="M17" s="153">
        <f xml:space="preserve">   IF(M13&gt;0,       IF(M14&gt;0,      1000*         ( I17*0.001+ 1*M15* ( I17*0.001/(K13+K14)  - 0.004)),   "na"),   "na")</f>
        <v>615.05551443375282</v>
      </c>
      <c r="N17" s="223"/>
      <c r="O17" s="224"/>
      <c r="P17" s="151" t="s">
        <v>280</v>
      </c>
      <c r="Q17" s="153">
        <f>IF(Q15&gt;0,   1000*( (Q15/2 ) *   Q13    / (    IF(U13&gt;0, IF(U14&gt;0,    ( ( ((S13*S14)/(S13+S14)+S15 ) *  ((U13*U14)/(U13+U14)+U15)) / ( ((S13*S14)/(S13+S14)+S15)  +  ((U13*U14)/(U13+U14)+U15))), ((S13*S14)/(S13+S14)+S15 ) ), ((S13*S14)/(S13+S14)+S15 ) )        +Q13)      ),"na")</f>
        <v>497.59615384615387</v>
      </c>
      <c r="R17" s="151" t="s">
        <v>281</v>
      </c>
      <c r="S17" s="153">
        <f>IF(S13&gt;0,IF(S14&gt;0,    Q17+    (1000*Q15/2-Q17)     *     S15 /  ((S13*S14)/(S13+S14) + S15 ),"na"),"na")</f>
        <v>527.29072398190044</v>
      </c>
      <c r="T17" s="151" t="s">
        <v>282</v>
      </c>
      <c r="U17" s="153">
        <f>IF(U13&gt;0,IF(U14&gt;0,    Q17+    (1000*Q15/2-Q17)     *     U15 /  ((U13*U14)/(U13+U14) + U15 ),"na"),"na")</f>
        <v>605.76923076923072</v>
      </c>
      <c r="V17" s="223"/>
      <c r="X17" s="122"/>
      <c r="Y17" s="122"/>
      <c r="Z17" s="122"/>
      <c r="AA17" s="122"/>
      <c r="AB17" s="122"/>
      <c r="AC17" s="122"/>
      <c r="AD17" s="122"/>
      <c r="AE17" s="122"/>
      <c r="AF17" s="122"/>
      <c r="AG17" s="122"/>
      <c r="AH17" s="122"/>
      <c r="AI17" s="122"/>
      <c r="AJ17" s="122"/>
      <c r="AK17" s="122"/>
      <c r="AL17" s="122"/>
      <c r="AM17" s="122"/>
      <c r="AN17" s="122"/>
    </row>
    <row r="18" spans="1:40" ht="27.6">
      <c r="A18" s="107" t="s">
        <v>134</v>
      </c>
      <c r="B18" s="92" t="s">
        <v>6</v>
      </c>
      <c r="C18" s="96">
        <v>0.25</v>
      </c>
      <c r="D18" s="88"/>
      <c r="E18" s="89" t="str">
        <f>IF(1-C18&lt;C22+C23,"ERROR, CKE HI must be greater than READ and WRITE output cycles","")</f>
        <v/>
      </c>
      <c r="F18" s="85"/>
      <c r="G18" s="224"/>
      <c r="H18" s="151" t="s">
        <v>267</v>
      </c>
      <c r="I18" s="154">
        <f>IF(I13&gt;0,IF(I14&gt;0,  1000*   (((I15-I17*0.001)/I13)*((I15-I17*0.001)/I13)*I13)  +  1000*   (((I17*0.001)/I14)*((I17*0.001)/I14)*I14),"na"),"na")</f>
        <v>10.281064592338053</v>
      </c>
      <c r="J18" s="151" t="s">
        <v>268</v>
      </c>
      <c r="K18" s="154">
        <f xml:space="preserve">    IF(K13&gt;0,         1000*  (I17*0.001/(K13+K14)) * (I17*0.001/(K13+K14))   *K13, "na")</f>
        <v>3.7826655803936129</v>
      </c>
      <c r="L18" s="151" t="s">
        <v>274</v>
      </c>
      <c r="M18" s="154">
        <f>IF(M13&gt;0,IF(M14&gt;0,(1000*(((I15-0.001*M17)/M13)*((I15-0.001*M17)/M13)*M13   +  (0.001*M17/M14)*(0.001*M17/M14)*M14) ),"na"),"na")</f>
        <v>29.035500709236956</v>
      </c>
      <c r="N18" s="223"/>
      <c r="O18" s="224"/>
      <c r="P18" s="151" t="s">
        <v>268</v>
      </c>
      <c r="Q18" s="154">
        <f xml:space="preserve">    IF(Q13&gt;0,         0.001*  (Q17/(Q13)) * (Q17/(Q13))    *Q13, "na")</f>
        <v>7.282409774190743</v>
      </c>
      <c r="R18" s="151" t="s">
        <v>275</v>
      </c>
      <c r="S18" s="154">
        <f>IF(S13&gt;0,IF(S14&gt;0,   1000*( (1*          ((Q15-0.001*S17)/S13)  * ((Q15-0.001*S17)/S13) *S13     +     (0.001*S17/S14) * (0.001*S17/S14) *S13   )),"na"),"na")</f>
        <v>20.403314054150204</v>
      </c>
      <c r="T18" s="151" t="s">
        <v>274</v>
      </c>
      <c r="U18" s="154">
        <f>IF(U13&gt;0,IF(U14&gt;0,    1000*(1*          ((Q15-0.001*U17)/U13)  * ((Q15-0.001*U17)/U13) *U13     +     (0.001*U17/U14) * (0.001*U17/U14) *U13   ),"na"),"na")</f>
        <v>29.165125739644971</v>
      </c>
      <c r="V18" s="223"/>
      <c r="X18" s="122"/>
      <c r="Y18" s="122"/>
      <c r="Z18" s="122"/>
      <c r="AA18" s="122"/>
      <c r="AB18" s="122"/>
      <c r="AC18" s="122"/>
      <c r="AD18" s="122"/>
      <c r="AE18" s="122"/>
      <c r="AF18" s="122"/>
      <c r="AG18" s="122"/>
      <c r="AH18" s="122"/>
      <c r="AI18" s="122"/>
      <c r="AJ18" s="122"/>
      <c r="AK18" s="122"/>
      <c r="AL18" s="122"/>
      <c r="AM18" s="122"/>
      <c r="AN18" s="122"/>
    </row>
    <row r="19" spans="1:40" ht="26.4">
      <c r="A19" s="107"/>
      <c r="B19" s="92"/>
      <c r="C19" s="97"/>
      <c r="D19" s="88"/>
      <c r="E19" s="89"/>
      <c r="F19" s="85"/>
      <c r="G19" s="224"/>
      <c r="J19" s="151" t="s">
        <v>270</v>
      </c>
      <c r="K19" s="154">
        <f>IF(K13&gt;0,IF(K14&gt;0,1000*(I17*0.001/(K13+K14))*(I17*0.001/(K13+K14))*K14,"na"),"na")</f>
        <v>1.668823050173653</v>
      </c>
      <c r="L19" s="151" t="s">
        <v>271</v>
      </c>
      <c r="M19" s="155">
        <f>IF(M13&gt;0,IF(M14&gt;0,     IF(M15&gt;0,         1000*(   ( (0.001*M17-0.001*I17)/M15) * ( (0.001*M17-0.001*I17)/M15)* M15),"na"),"na"),"na")</f>
        <v>0.64309396061036561</v>
      </c>
      <c r="N19" s="223"/>
      <c r="O19" s="224"/>
      <c r="R19" s="151" t="s">
        <v>273</v>
      </c>
      <c r="S19" s="155">
        <f>IF(S13&gt;0,IF(S14&gt;0,     IF(S15&gt;0,0.001*((       ((S17-Q17)/S15) * ((S17-Q17)/S15)   *  S15               )   ),0),"na"),"na")</f>
        <v>0.22044187388669306</v>
      </c>
      <c r="T19" s="151" t="s">
        <v>271</v>
      </c>
      <c r="U19" s="154">
        <f>IF(U13&gt;0,IF(U14&gt;0,     IF(U15&gt;0,   0.001*(       ((U17-Q17)/U15) * ((U17-Q17)/U15)   *  U15                  ),0),"na"),"na")</f>
        <v>0.78009430473372676</v>
      </c>
      <c r="V19" s="223"/>
      <c r="X19" s="122"/>
      <c r="Y19" s="122"/>
      <c r="Z19" s="122"/>
      <c r="AA19" s="122"/>
      <c r="AB19" s="122"/>
      <c r="AC19" s="122"/>
      <c r="AD19" s="122"/>
      <c r="AE19" s="122"/>
      <c r="AF19" s="122"/>
      <c r="AG19" s="122"/>
      <c r="AH19" s="122"/>
      <c r="AI19" s="122"/>
      <c r="AJ19" s="122"/>
      <c r="AK19" s="122"/>
      <c r="AL19" s="122"/>
      <c r="AM19" s="122"/>
      <c r="AN19" s="122"/>
    </row>
    <row r="20" spans="1:40" ht="13.8">
      <c r="A20" s="107" t="s">
        <v>130</v>
      </c>
      <c r="B20" s="92" t="s">
        <v>158</v>
      </c>
      <c r="C20" s="96">
        <v>0.5</v>
      </c>
      <c r="D20" s="88"/>
      <c r="E20" s="89"/>
      <c r="F20" s="85"/>
      <c r="G20" s="224"/>
      <c r="N20" s="223"/>
      <c r="O20" s="224"/>
      <c r="V20" s="223"/>
      <c r="X20" s="122">
        <v>1.5</v>
      </c>
      <c r="Y20" s="122"/>
      <c r="Z20" s="122"/>
      <c r="AA20" s="122"/>
      <c r="AB20" s="122"/>
      <c r="AC20" s="122"/>
      <c r="AD20" s="122"/>
      <c r="AE20" s="122"/>
      <c r="AF20" s="122"/>
      <c r="AG20" s="122"/>
      <c r="AH20" s="122"/>
      <c r="AI20" s="122"/>
      <c r="AJ20" s="122"/>
      <c r="AK20" s="122"/>
      <c r="AL20" s="122"/>
      <c r="AM20" s="122"/>
      <c r="AN20" s="122"/>
    </row>
    <row r="21" spans="1:40" ht="14.4" thickBot="1">
      <c r="A21" s="107"/>
      <c r="B21" s="92"/>
      <c r="C21" s="97"/>
      <c r="D21" s="88"/>
      <c r="E21" s="89"/>
      <c r="F21" s="85"/>
      <c r="G21" s="230"/>
      <c r="H21" s="231"/>
      <c r="I21" s="231"/>
      <c r="J21" s="231"/>
      <c r="K21" s="231"/>
      <c r="L21" s="231"/>
      <c r="M21" s="231"/>
      <c r="N21" s="232"/>
      <c r="O21" s="230"/>
      <c r="P21" s="231"/>
      <c r="Q21" s="231"/>
      <c r="R21" s="231"/>
      <c r="S21" s="231"/>
      <c r="T21" s="231"/>
      <c r="U21" s="231"/>
      <c r="V21" s="232"/>
      <c r="X21" s="122">
        <v>1.35</v>
      </c>
      <c r="Y21" s="122"/>
      <c r="Z21" s="122"/>
      <c r="AA21" s="122"/>
      <c r="AB21" s="122"/>
      <c r="AC21" s="122"/>
      <c r="AD21" s="122"/>
      <c r="AE21" s="122"/>
      <c r="AF21" s="122"/>
      <c r="AG21" s="122"/>
      <c r="AH21" s="122"/>
      <c r="AI21" s="122"/>
      <c r="AJ21" s="122"/>
      <c r="AK21" s="122"/>
      <c r="AL21" s="122"/>
      <c r="AM21" s="122"/>
      <c r="AN21" s="122"/>
    </row>
    <row r="22" spans="1:40" ht="27.6">
      <c r="A22" s="107" t="s">
        <v>128</v>
      </c>
      <c r="B22" s="92" t="s">
        <v>159</v>
      </c>
      <c r="C22" s="96">
        <v>0.3</v>
      </c>
      <c r="D22" s="88"/>
      <c r="E22" s="89" t="str">
        <f>IF(SUM(C22+C23+C25+C26)*8/C9&gt;1,"Data Bus utilization is too high","")</f>
        <v/>
      </c>
      <c r="F22" s="85"/>
      <c r="M22" s="142" t="s">
        <v>250</v>
      </c>
      <c r="X22" s="122"/>
      <c r="Y22" s="122"/>
      <c r="Z22" s="122"/>
      <c r="AA22" s="122"/>
      <c r="AB22" s="122"/>
      <c r="AC22" s="122"/>
      <c r="AD22" s="122"/>
      <c r="AE22" s="122"/>
      <c r="AF22" s="122"/>
      <c r="AG22" s="122"/>
      <c r="AH22" s="122"/>
      <c r="AI22" s="122"/>
      <c r="AJ22" s="122"/>
      <c r="AK22" s="122"/>
      <c r="AL22" s="122"/>
      <c r="AM22" s="122"/>
      <c r="AN22" s="122"/>
    </row>
    <row r="23" spans="1:40" ht="27.6">
      <c r="A23" s="107" t="s">
        <v>129</v>
      </c>
      <c r="B23" s="92" t="s">
        <v>160</v>
      </c>
      <c r="C23" s="96">
        <v>0.3</v>
      </c>
      <c r="D23" s="88"/>
      <c r="E23" s="95"/>
      <c r="F23" s="85"/>
      <c r="X23" s="122"/>
      <c r="Y23" s="122"/>
      <c r="Z23" s="122"/>
      <c r="AA23" s="122"/>
      <c r="AB23" s="122"/>
      <c r="AC23" s="122"/>
      <c r="AD23" s="122"/>
      <c r="AE23" s="122"/>
      <c r="AF23" s="122"/>
      <c r="AG23" s="122"/>
      <c r="AH23" s="122"/>
      <c r="AI23" s="122"/>
      <c r="AJ23" s="122"/>
      <c r="AK23" s="122"/>
      <c r="AL23" s="122"/>
      <c r="AM23" s="122"/>
      <c r="AN23" s="122"/>
    </row>
    <row r="24" spans="1:40" ht="13.8">
      <c r="A24" s="107"/>
      <c r="B24" s="98"/>
      <c r="C24" s="160">
        <f>C22/(C23+C22)</f>
        <v>0.5</v>
      </c>
      <c r="D24" s="88"/>
      <c r="E24" s="95" t="s">
        <v>293</v>
      </c>
      <c r="F24" s="85"/>
      <c r="X24" s="122"/>
      <c r="Y24" s="122"/>
      <c r="Z24" s="122"/>
      <c r="AA24" s="122"/>
      <c r="AB24" s="122"/>
      <c r="AC24" s="122"/>
      <c r="AD24" s="122"/>
      <c r="AE24" s="122"/>
      <c r="AF24" s="122"/>
      <c r="AG24" s="122"/>
      <c r="AH24" s="122"/>
      <c r="AI24" s="122"/>
      <c r="AJ24" s="122"/>
      <c r="AK24" s="122"/>
      <c r="AL24" s="122"/>
      <c r="AM24" s="122"/>
      <c r="AN24" s="122"/>
    </row>
    <row r="25" spans="1:40" ht="27.6">
      <c r="A25" s="107" t="s">
        <v>131</v>
      </c>
      <c r="B25" s="92" t="s">
        <v>29</v>
      </c>
      <c r="C25" s="96">
        <v>0</v>
      </c>
      <c r="D25" s="88"/>
      <c r="E25" s="95" t="s">
        <v>199</v>
      </c>
      <c r="F25" s="85"/>
      <c r="X25" s="122"/>
      <c r="Y25" s="122"/>
      <c r="Z25" s="122"/>
      <c r="AA25" s="122"/>
      <c r="AB25" s="122"/>
      <c r="AC25" s="122"/>
      <c r="AD25" s="122"/>
      <c r="AE25" s="122"/>
      <c r="AF25" s="122"/>
      <c r="AG25" s="122"/>
      <c r="AH25" s="122"/>
      <c r="AI25" s="122"/>
      <c r="AJ25" s="122"/>
      <c r="AK25" s="122"/>
      <c r="AL25" s="122"/>
      <c r="AM25" s="122"/>
      <c r="AN25" s="122"/>
    </row>
    <row r="26" spans="1:40" ht="27.6">
      <c r="A26" s="107" t="s">
        <v>132</v>
      </c>
      <c r="B26" s="92" t="s">
        <v>28</v>
      </c>
      <c r="C26" s="96">
        <v>0</v>
      </c>
      <c r="D26" s="88"/>
      <c r="E26" s="95" t="s">
        <v>199</v>
      </c>
      <c r="F26" s="85"/>
      <c r="X26" s="122"/>
      <c r="Y26" s="122"/>
      <c r="Z26" s="122"/>
      <c r="AA26" s="122"/>
      <c r="AB26" s="122"/>
      <c r="AC26" s="122"/>
      <c r="AD26" s="122"/>
      <c r="AE26" s="122"/>
      <c r="AF26" s="122"/>
      <c r="AG26" s="122"/>
      <c r="AH26" s="122"/>
      <c r="AI26" s="122"/>
      <c r="AJ26" s="122"/>
      <c r="AK26" s="122"/>
      <c r="AL26" s="122"/>
      <c r="AM26" s="122"/>
      <c r="AN26" s="122"/>
    </row>
    <row r="27" spans="1:40" ht="13.8">
      <c r="A27" s="107"/>
      <c r="B27" s="92"/>
      <c r="C27" s="99"/>
      <c r="D27" s="88"/>
      <c r="E27" s="95"/>
      <c r="F27" s="85"/>
      <c r="X27" s="122"/>
      <c r="Y27" s="122"/>
      <c r="Z27" s="122"/>
      <c r="AA27" s="122"/>
      <c r="AB27" s="122"/>
      <c r="AC27" s="122"/>
      <c r="AD27" s="122"/>
      <c r="AE27" s="122"/>
      <c r="AF27" s="122"/>
      <c r="AG27" s="122"/>
      <c r="AH27" s="122"/>
      <c r="AI27" s="122"/>
      <c r="AJ27" s="122"/>
      <c r="AK27" s="122"/>
      <c r="AL27" s="122"/>
      <c r="AM27" s="122"/>
      <c r="AN27" s="122"/>
    </row>
    <row r="28" spans="1:40" ht="42" thickBot="1">
      <c r="A28" s="116" t="s">
        <v>202</v>
      </c>
      <c r="B28" s="100" t="s">
        <v>77</v>
      </c>
      <c r="C28" s="101">
        <f>INT(C40*10000/C8)/10</f>
        <v>33.299999999999997</v>
      </c>
      <c r="D28" s="102" t="s">
        <v>36</v>
      </c>
      <c r="E28" s="89" t="s">
        <v>332</v>
      </c>
      <c r="F28" s="85" t="s">
        <v>250</v>
      </c>
      <c r="O28" s="142" t="s">
        <v>250</v>
      </c>
      <c r="X28" s="122"/>
      <c r="Y28" s="122"/>
      <c r="Z28" s="122"/>
      <c r="AA28" s="122"/>
      <c r="AB28" s="122"/>
      <c r="AC28" s="122"/>
      <c r="AD28" s="122"/>
      <c r="AE28" s="122"/>
      <c r="AF28" s="122"/>
      <c r="AG28" s="122"/>
      <c r="AH28" s="122"/>
      <c r="AI28" s="122"/>
      <c r="AJ28" s="122"/>
      <c r="AK28" s="122"/>
      <c r="AL28" s="122"/>
      <c r="AM28" s="122"/>
      <c r="AN28" s="122"/>
    </row>
    <row r="29" spans="1:40" ht="42" thickBot="1">
      <c r="B29" s="103"/>
      <c r="C29" s="103"/>
      <c r="D29" s="104"/>
      <c r="E29" s="141" t="s">
        <v>294</v>
      </c>
      <c r="F29" s="105"/>
      <c r="X29" s="122"/>
      <c r="Y29" s="122"/>
      <c r="Z29" s="122"/>
      <c r="AA29" s="122"/>
      <c r="AB29" s="122"/>
      <c r="AC29" s="122"/>
      <c r="AD29" s="122"/>
      <c r="AE29" s="122"/>
      <c r="AF29" s="122"/>
      <c r="AG29" s="122"/>
      <c r="AH29" s="122"/>
      <c r="AI29" s="122"/>
      <c r="AJ29" s="122"/>
      <c r="AK29" s="122"/>
      <c r="AL29" s="122"/>
      <c r="AM29" s="122"/>
      <c r="AN29" s="122"/>
    </row>
    <row r="30" spans="1:40" ht="13.8" hidden="1" thickBot="1">
      <c r="X30" s="122"/>
      <c r="Y30" s="122"/>
      <c r="Z30" s="122"/>
      <c r="AA30" s="122"/>
      <c r="AB30" s="122"/>
      <c r="AC30" s="122"/>
      <c r="AD30" s="122"/>
      <c r="AE30" s="122"/>
      <c r="AF30" s="122"/>
      <c r="AG30" s="122"/>
      <c r="AH30" s="122"/>
      <c r="AI30" s="122"/>
      <c r="AJ30" s="122"/>
      <c r="AK30" s="122"/>
      <c r="AL30" s="122"/>
      <c r="AM30" s="122"/>
      <c r="AN30" s="122"/>
    </row>
    <row r="31" spans="1:40" ht="24" hidden="1" customHeight="1">
      <c r="X31" s="122"/>
      <c r="Y31" s="122"/>
      <c r="Z31" s="122"/>
      <c r="AA31" s="122"/>
      <c r="AB31" s="122"/>
      <c r="AC31" s="122"/>
      <c r="AD31" s="122"/>
      <c r="AE31" s="122"/>
      <c r="AF31" s="122"/>
      <c r="AG31" s="122"/>
      <c r="AH31" s="122"/>
      <c r="AI31" s="122"/>
      <c r="AJ31" s="122"/>
      <c r="AK31" s="122"/>
      <c r="AL31" s="122"/>
      <c r="AM31" s="122"/>
      <c r="AN31" s="122"/>
    </row>
    <row r="32" spans="1:40" ht="26.25" hidden="1" customHeight="1">
      <c r="X32" s="122"/>
      <c r="Y32" s="122"/>
      <c r="Z32" s="122"/>
      <c r="AA32" s="122"/>
      <c r="AB32" s="122"/>
      <c r="AC32" s="122"/>
      <c r="AD32" s="122"/>
      <c r="AE32" s="122"/>
      <c r="AF32" s="122"/>
      <c r="AG32" s="122"/>
      <c r="AH32" s="122"/>
      <c r="AI32" s="122"/>
      <c r="AJ32" s="122"/>
      <c r="AK32" s="122"/>
      <c r="AL32" s="122"/>
      <c r="AM32" s="122"/>
      <c r="AN32" s="122"/>
    </row>
    <row r="33" spans="2:40" ht="13.8" hidden="1" thickBot="1">
      <c r="B33" s="9"/>
      <c r="C33" s="9"/>
      <c r="D33" s="22"/>
      <c r="E33" s="9"/>
      <c r="X33" s="122"/>
      <c r="Y33" s="122"/>
      <c r="Z33" s="122"/>
      <c r="AA33" s="122"/>
      <c r="AB33" s="122"/>
      <c r="AC33" s="122"/>
      <c r="AD33" s="122"/>
      <c r="AE33" s="122"/>
      <c r="AF33" s="122"/>
      <c r="AG33" s="122"/>
      <c r="AH33" s="122"/>
      <c r="AI33" s="122"/>
      <c r="AJ33" s="122"/>
      <c r="AK33" s="122"/>
      <c r="AL33" s="122"/>
      <c r="AM33" s="122"/>
      <c r="AN33" s="122"/>
    </row>
    <row r="34" spans="2:40" ht="13.8" hidden="1" thickBot="1">
      <c r="B34" s="9"/>
      <c r="C34" s="9"/>
      <c r="D34" s="22"/>
      <c r="E34" s="9"/>
      <c r="X34" s="122"/>
      <c r="Y34" s="122"/>
      <c r="Z34" s="122"/>
      <c r="AA34" s="122"/>
      <c r="AB34" s="122"/>
      <c r="AC34" s="122"/>
      <c r="AD34" s="122"/>
      <c r="AE34" s="122"/>
      <c r="AF34" s="122"/>
      <c r="AG34" s="122"/>
      <c r="AH34" s="122"/>
      <c r="AI34" s="122"/>
      <c r="AJ34" s="122"/>
      <c r="AK34" s="122"/>
      <c r="AL34" s="122"/>
      <c r="AM34" s="122"/>
      <c r="AN34" s="122"/>
    </row>
    <row r="35" spans="2:40" ht="40.5" customHeight="1" thickBot="1">
      <c r="B35" s="268" t="s">
        <v>60</v>
      </c>
      <c r="C35" s="269"/>
      <c r="D35" s="22"/>
      <c r="E35" s="9"/>
      <c r="I35" s="142" t="s">
        <v>250</v>
      </c>
      <c r="AM35" s="122"/>
      <c r="AN35" s="122"/>
    </row>
    <row r="36" spans="2:40" ht="40.5" customHeight="1" thickBot="1">
      <c r="B36" s="266" t="s">
        <v>315</v>
      </c>
      <c r="C36" s="267"/>
      <c r="I36" s="142" t="s">
        <v>250</v>
      </c>
    </row>
    <row r="37" spans="2:40" ht="15.75" customHeight="1"/>
    <row r="38" spans="2:40" ht="15.75" hidden="1" customHeight="1"/>
    <row r="39" spans="2:40" ht="15.75" hidden="1" customHeight="1">
      <c r="B39" s="142" t="s">
        <v>320</v>
      </c>
      <c r="C39" s="142">
        <f>C9/2/(C23+C22)</f>
        <v>6.666666666666667</v>
      </c>
    </row>
    <row r="40" spans="2:40" ht="15.75" hidden="1" customHeight="1">
      <c r="B40" s="142" t="s">
        <v>64</v>
      </c>
      <c r="C40" s="142">
        <f>C39/(1-C20)</f>
        <v>13.333333333333334</v>
      </c>
    </row>
    <row r="41" spans="2:40" ht="15.75" hidden="1" customHeight="1"/>
    <row r="42" spans="2:40" ht="15.75" hidden="1" customHeight="1"/>
    <row r="43" spans="2:40" ht="15.75" hidden="1" customHeight="1"/>
    <row r="44" spans="2:40" ht="15.75" hidden="1" customHeight="1"/>
    <row r="45" spans="2:40" ht="15.75" customHeight="1"/>
  </sheetData>
  <mergeCells count="6">
    <mergeCell ref="B36:C36"/>
    <mergeCell ref="B35:C35"/>
    <mergeCell ref="G4:N4"/>
    <mergeCell ref="O4:V4"/>
    <mergeCell ref="E11:E12"/>
    <mergeCell ref="E13:E14"/>
  </mergeCells>
  <phoneticPr fontId="0" type="noConversion"/>
  <printOptions horizontalCentered="1"/>
  <pageMargins left="0.25" right="0.25" top="0.25" bottom="0.25" header="0.5" footer="0.5"/>
  <pageSetup scale="90"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M36"/>
  <sheetViews>
    <sheetView showGridLines="0" tabSelected="1" workbookViewId="0">
      <selection activeCell="K24" sqref="K24"/>
    </sheetView>
  </sheetViews>
  <sheetFormatPr baseColWidth="10" defaultColWidth="9.33203125" defaultRowHeight="13.2"/>
  <cols>
    <col min="1" max="1" width="45.6640625" customWidth="1"/>
    <col min="2" max="2" width="14.6640625" customWidth="1"/>
    <col min="3" max="3" width="6" customWidth="1"/>
    <col min="4" max="4" width="4.6640625" style="24" customWidth="1"/>
    <col min="5" max="5" width="3.33203125" customWidth="1"/>
    <col min="6" max="6" width="15.5546875" customWidth="1"/>
    <col min="7" max="7" width="5.33203125" customWidth="1"/>
    <col min="8" max="8" width="4.6640625" style="24" customWidth="1"/>
    <col min="9" max="9" width="3.33203125" customWidth="1"/>
    <col min="10" max="10" width="15.33203125" customWidth="1"/>
    <col min="11" max="11" width="7.33203125" customWidth="1"/>
    <col min="12" max="12" width="4.6640625" style="24" customWidth="1"/>
  </cols>
  <sheetData>
    <row r="1" spans="1:13">
      <c r="A1" s="20"/>
    </row>
    <row r="5" spans="1:13" ht="24.75" customHeight="1">
      <c r="A5" s="128" t="str">
        <f>CONCATENATE("System Derating for ",C33," ",IF('DDR3 Config'!K12=1,"DDR3","DDR3L")," SDRAM (x",C34,", ",C35," Speed Grade)")</f>
        <v>System Derating for 2Gb DDR3 SDRAM (x16, -125 Speed Grade)</v>
      </c>
      <c r="B5" s="128"/>
      <c r="C5" s="128"/>
      <c r="D5" s="128"/>
      <c r="E5" s="128"/>
      <c r="F5" s="128"/>
      <c r="G5" s="128"/>
      <c r="H5" s="128"/>
      <c r="I5" s="128"/>
      <c r="J5" s="128"/>
      <c r="K5" s="128"/>
      <c r="L5" s="128"/>
    </row>
    <row r="6" spans="1:13">
      <c r="A6" s="14"/>
      <c r="B6" s="14"/>
      <c r="C6" s="14"/>
      <c r="D6" s="119"/>
      <c r="E6" s="14"/>
      <c r="F6" s="14"/>
      <c r="G6" s="14"/>
      <c r="H6" s="119"/>
      <c r="I6" s="14"/>
      <c r="J6" s="14"/>
      <c r="K6" s="14"/>
      <c r="L6" s="119"/>
    </row>
    <row r="7" spans="1:13" ht="27.75" customHeight="1">
      <c r="A7" s="127" t="s">
        <v>319</v>
      </c>
      <c r="B7" s="127"/>
      <c r="C7" s="127"/>
      <c r="D7" s="127"/>
      <c r="E7" s="127"/>
      <c r="F7" s="127"/>
      <c r="G7" s="127"/>
      <c r="H7" s="127"/>
      <c r="I7" s="127"/>
      <c r="J7" s="127"/>
      <c r="K7" s="127"/>
      <c r="L7" s="127"/>
    </row>
    <row r="9" spans="1:13" ht="13.8" thickBot="1"/>
    <row r="10" spans="1:13" s="4" customFormat="1" ht="57.6" customHeight="1" thickBot="1">
      <c r="A10" s="108"/>
      <c r="B10" s="132" t="s">
        <v>301</v>
      </c>
      <c r="C10" s="133"/>
      <c r="D10" s="134"/>
      <c r="E10" s="109"/>
      <c r="F10" s="132" t="s">
        <v>162</v>
      </c>
      <c r="G10" s="133"/>
      <c r="H10" s="134"/>
      <c r="J10" s="132" t="s">
        <v>200</v>
      </c>
      <c r="K10" s="133"/>
      <c r="L10" s="134"/>
    </row>
    <row r="11" spans="1:13" ht="21" customHeight="1">
      <c r="A11" s="110" t="s">
        <v>78</v>
      </c>
      <c r="B11" s="162" t="s">
        <v>65</v>
      </c>
      <c r="C11" s="163">
        <f>+'DDR3 Config'!C22*'DDR3 Config'!C$15</f>
        <v>23.625</v>
      </c>
      <c r="D11" s="164" t="s">
        <v>10</v>
      </c>
      <c r="E11" s="49"/>
      <c r="F11" s="42" t="s">
        <v>116</v>
      </c>
      <c r="G11" s="44">
        <f>C11*'System Config'!C16*'System Config'!C17</f>
        <v>1.4765625</v>
      </c>
      <c r="H11" s="120" t="s">
        <v>10</v>
      </c>
      <c r="I11" s="49"/>
      <c r="J11" s="42" t="s">
        <v>104</v>
      </c>
      <c r="K11" s="44">
        <f>+G11*('System Config'!C$7/'DDR3 Config'!C$15)^2*IF('DDR3 Config'!I1=2,'System Config'!C$8/1000*'DDR3 Config'!C$30,1)</f>
        <v>0.66964285714285721</v>
      </c>
      <c r="L11" s="120" t="s">
        <v>10</v>
      </c>
      <c r="M11" s="14"/>
    </row>
    <row r="12" spans="1:13" ht="21" customHeight="1">
      <c r="A12" s="111" t="s">
        <v>79</v>
      </c>
      <c r="B12" s="162" t="s">
        <v>66</v>
      </c>
      <c r="C12" s="163">
        <f>+'DDR3 Config'!C23*'DDR3 Config'!C$15</f>
        <v>36.225000000000001</v>
      </c>
      <c r="D12" s="164" t="s">
        <v>10</v>
      </c>
      <c r="E12" s="49"/>
      <c r="F12" s="42" t="s">
        <v>117</v>
      </c>
      <c r="G12" s="44">
        <f>C12*'System Config'!C16*(1-'System Config'!C17)</f>
        <v>6.7921875000000007</v>
      </c>
      <c r="H12" s="120" t="s">
        <v>10</v>
      </c>
      <c r="I12" s="49"/>
      <c r="J12" s="42" t="s">
        <v>105</v>
      </c>
      <c r="K12" s="44">
        <f>+G12*('System Config'!C$7/'DDR3 Config'!C$15)^2*'System Config'!C$8/1000*'DDR3 Config'!C$30</f>
        <v>3.0803571428571441</v>
      </c>
      <c r="L12" s="120" t="s">
        <v>10</v>
      </c>
      <c r="M12" s="14"/>
    </row>
    <row r="13" spans="1:13" ht="21" customHeight="1">
      <c r="A13" s="111" t="s">
        <v>4</v>
      </c>
      <c r="B13" s="162" t="s">
        <v>67</v>
      </c>
      <c r="C13" s="163">
        <f>+'DDR3 Config'!C24*'DDR3 Config'!C$15</f>
        <v>34.65</v>
      </c>
      <c r="D13" s="164" t="s">
        <v>10</v>
      </c>
      <c r="E13" s="49"/>
      <c r="F13" s="42" t="s">
        <v>118</v>
      </c>
      <c r="G13" s="44">
        <f>C13*(1-'System Config'!C16)*'System Config'!C18</f>
        <v>6.4968749999999993</v>
      </c>
      <c r="H13" s="120" t="s">
        <v>10</v>
      </c>
      <c r="I13" s="49"/>
      <c r="J13" s="42" t="s">
        <v>106</v>
      </c>
      <c r="K13" s="44">
        <f>+G13*('System Config'!C$7/'DDR3 Config'!C$15)^2*'System Config'!C$8/1000*'DDR3 Config'!C$30</f>
        <v>2.9464285714285716</v>
      </c>
      <c r="L13" s="120" t="s">
        <v>10</v>
      </c>
      <c r="M13" s="14"/>
    </row>
    <row r="14" spans="1:13" ht="21" customHeight="1">
      <c r="A14" s="111" t="s">
        <v>80</v>
      </c>
      <c r="B14" s="162" t="s">
        <v>68</v>
      </c>
      <c r="C14" s="163">
        <f>+'DDR3 Config'!C25*'DDR3 Config'!C$15</f>
        <v>58.274999999999999</v>
      </c>
      <c r="D14" s="164" t="s">
        <v>10</v>
      </c>
      <c r="E14" s="49"/>
      <c r="F14" s="42" t="s">
        <v>119</v>
      </c>
      <c r="G14" s="44">
        <f>C14*(1-'System Config'!C16)*(1-'System Config'!C18)</f>
        <v>32.779687499999994</v>
      </c>
      <c r="H14" s="120" t="s">
        <v>10</v>
      </c>
      <c r="I14" s="49"/>
      <c r="J14" s="42" t="s">
        <v>107</v>
      </c>
      <c r="K14" s="44">
        <f>+G14*('System Config'!C$7/'DDR3 Config'!C$15)^2*'System Config'!C$8/1000*'DDR3 Config'!C$30</f>
        <v>14.866071428571427</v>
      </c>
      <c r="L14" s="120" t="s">
        <v>10</v>
      </c>
      <c r="M14" s="14"/>
    </row>
    <row r="15" spans="1:13" ht="21" customHeight="1">
      <c r="A15" s="111" t="s">
        <v>18</v>
      </c>
      <c r="B15" s="162" t="s">
        <v>69</v>
      </c>
      <c r="C15" s="163">
        <f>('DDR3 Config'!C28-'DDR3 Config'!C25)*'DDR3 Config'!C34/'DDR3 Config'!C35/1000*'DDR3 Config'!C15</f>
        <v>4.6846153846153848</v>
      </c>
      <c r="D15" s="164" t="s">
        <v>10</v>
      </c>
      <c r="E15" s="49"/>
      <c r="F15" s="42" t="s">
        <v>120</v>
      </c>
      <c r="G15" s="44">
        <f>C15</f>
        <v>4.6846153846153848</v>
      </c>
      <c r="H15" s="120" t="s">
        <v>10</v>
      </c>
      <c r="I15" s="49"/>
      <c r="J15" s="42" t="s">
        <v>108</v>
      </c>
      <c r="K15" s="44">
        <f>+G15*('System Config'!C$7/'DDR3 Config'!C$15)^2</f>
        <v>4.24908424908425</v>
      </c>
      <c r="L15" s="120" t="s">
        <v>10</v>
      </c>
      <c r="M15" s="14"/>
    </row>
    <row r="16" spans="1:13" ht="21" customHeight="1">
      <c r="A16" s="111" t="s">
        <v>17</v>
      </c>
      <c r="B16" s="162" t="s">
        <v>70</v>
      </c>
      <c r="C16" s="163">
        <f>+('DDR3 Config'!C21-('DDR3 Config'!C25*'DDR3 Config'!C33/'DDR3 Config'!C32+'DDR3 Config'!C23*('DDR3 Config'!C32-'DDR3 Config'!C33)/'DDR3 Config'!C32))*'DDR3 Config'!C$15</f>
        <v>25.119230769230768</v>
      </c>
      <c r="D16" s="164" t="s">
        <v>10</v>
      </c>
      <c r="E16" s="49"/>
      <c r="F16" s="42" t="s">
        <v>121</v>
      </c>
      <c r="G16" s="44">
        <f>+C16*'DDR3 Config'!C32/'System Config'!C28</f>
        <v>36.773648648648653</v>
      </c>
      <c r="H16" s="120" t="s">
        <v>10</v>
      </c>
      <c r="I16" s="49"/>
      <c r="J16" s="42" t="s">
        <v>109</v>
      </c>
      <c r="K16" s="44">
        <f>+G16*('System Config'!C$7/'DDR3 Config'!C$15)^2</f>
        <v>33.354783354783365</v>
      </c>
      <c r="L16" s="120" t="s">
        <v>10</v>
      </c>
      <c r="M16" s="14"/>
    </row>
    <row r="17" spans="1:13" ht="21" customHeight="1">
      <c r="A17" s="111" t="s">
        <v>16</v>
      </c>
      <c r="B17" s="162" t="s">
        <v>71</v>
      </c>
      <c r="C17" s="163">
        <f>+('DDR3 Config'!C27-'DDR3 Config'!C$25)*'DDR3 Config'!C$15*8/'System Config'!C9</f>
        <v>171.67499999999998</v>
      </c>
      <c r="D17" s="164" t="s">
        <v>10</v>
      </c>
      <c r="E17" s="49"/>
      <c r="F17" s="42" t="s">
        <v>122</v>
      </c>
      <c r="G17" s="44">
        <f>+C17*'System Config'!C23</f>
        <v>51.502499999999991</v>
      </c>
      <c r="H17" s="120" t="s">
        <v>10</v>
      </c>
      <c r="I17" s="49"/>
      <c r="J17" s="42" t="s">
        <v>110</v>
      </c>
      <c r="K17" s="44">
        <f>+G17*('System Config'!C$7/'DDR3 Config'!C$15)^2*'System Config'!C$8/1000*'DDR3 Config'!C$30</f>
        <v>23.357142857142858</v>
      </c>
      <c r="L17" s="120" t="s">
        <v>10</v>
      </c>
      <c r="M17" s="14"/>
    </row>
    <row r="18" spans="1:13" ht="21" customHeight="1">
      <c r="A18" s="111" t="s">
        <v>61</v>
      </c>
      <c r="B18" s="162" t="s">
        <v>72</v>
      </c>
      <c r="C18" s="163">
        <f>+('DDR3 Config'!C26-'DDR3 Config'!C$25)*'DDR3 Config'!C$15*8/'System Config'!C9</f>
        <v>154.35</v>
      </c>
      <c r="D18" s="164" t="s">
        <v>10</v>
      </c>
      <c r="E18" s="49"/>
      <c r="F18" s="42" t="s">
        <v>123</v>
      </c>
      <c r="G18" s="44">
        <f>+C18*'System Config'!C22</f>
        <v>46.305</v>
      </c>
      <c r="H18" s="120" t="s">
        <v>10</v>
      </c>
      <c r="I18" s="49"/>
      <c r="J18" s="42" t="s">
        <v>111</v>
      </c>
      <c r="K18" s="44">
        <f>+G18*('System Config'!C$7/'DDR3 Config'!C$15)^2*'System Config'!C$8/1000*'DDR3 Config'!C$30</f>
        <v>21.000000000000007</v>
      </c>
      <c r="L18" s="120" t="s">
        <v>10</v>
      </c>
      <c r="M18" s="14"/>
    </row>
    <row r="19" spans="1:13" ht="21" customHeight="1">
      <c r="A19" s="111" t="s">
        <v>62</v>
      </c>
      <c r="B19" s="162" t="s">
        <v>73</v>
      </c>
      <c r="C19" s="163">
        <f>+('System Config'!C11*('DDR3 Config'!C$8+'DDR3 Config'!C18))</f>
        <v>109.02977261134531</v>
      </c>
      <c r="D19" s="164" t="s">
        <v>10</v>
      </c>
      <c r="E19" s="49"/>
      <c r="F19" s="42" t="s">
        <v>124</v>
      </c>
      <c r="G19" s="44">
        <f>+C19*'System Config'!C22</f>
        <v>32.708931783403592</v>
      </c>
      <c r="H19" s="120" t="s">
        <v>10</v>
      </c>
      <c r="I19" s="49"/>
      <c r="J19" s="42" t="s">
        <v>112</v>
      </c>
      <c r="K19" s="44">
        <f>+G19</f>
        <v>32.708931783403592</v>
      </c>
      <c r="L19" s="120" t="s">
        <v>10</v>
      </c>
      <c r="M19" s="14"/>
    </row>
    <row r="20" spans="1:13" ht="21" customHeight="1">
      <c r="A20" s="111" t="s">
        <v>30</v>
      </c>
      <c r="B20" s="162" t="s">
        <v>74</v>
      </c>
      <c r="C20" s="163">
        <f>+('System Config'!C12*('DDR3 Config'!C$8+'DDR3 Config'!C$18+'DDR3 Config'!C$19))</f>
        <v>453.72263041681174</v>
      </c>
      <c r="D20" s="164" t="s">
        <v>10</v>
      </c>
      <c r="E20" s="49"/>
      <c r="F20" s="42" t="s">
        <v>125</v>
      </c>
      <c r="G20" s="44">
        <f>+C20*'System Config'!C23</f>
        <v>136.11678912504351</v>
      </c>
      <c r="H20" s="120" t="s">
        <v>10</v>
      </c>
      <c r="I20" s="49"/>
      <c r="J20" s="42" t="s">
        <v>113</v>
      </c>
      <c r="K20" s="44">
        <f>+G20</f>
        <v>136.11678912504351</v>
      </c>
      <c r="L20" s="120" t="s">
        <v>10</v>
      </c>
      <c r="M20" s="14"/>
    </row>
    <row r="21" spans="1:13" ht="21" customHeight="1">
      <c r="A21" s="111" t="s">
        <v>90</v>
      </c>
      <c r="B21" s="162" t="s">
        <v>75</v>
      </c>
      <c r="C21" s="163">
        <f>+('System Config'!C13*('DDR3 Config'!C$8+'DDR3 Config'!C$18))</f>
        <v>593.57189339694639</v>
      </c>
      <c r="D21" s="164" t="s">
        <v>10</v>
      </c>
      <c r="E21" s="49"/>
      <c r="F21" s="42" t="s">
        <v>126</v>
      </c>
      <c r="G21" s="44">
        <f>+C21*'System Config'!C25</f>
        <v>0</v>
      </c>
      <c r="H21" s="120" t="s">
        <v>10</v>
      </c>
      <c r="I21" s="49"/>
      <c r="J21" s="42" t="s">
        <v>114</v>
      </c>
      <c r="K21" s="44">
        <f>+G21</f>
        <v>0</v>
      </c>
      <c r="L21" s="120" t="s">
        <v>10</v>
      </c>
      <c r="M21" s="14"/>
    </row>
    <row r="22" spans="1:13" ht="21" customHeight="1" thickBot="1">
      <c r="A22" s="112" t="s">
        <v>33</v>
      </c>
      <c r="B22" s="165" t="s">
        <v>76</v>
      </c>
      <c r="C22" s="166">
        <f>+('System Config'!C14*('DDR3 Config'!C$8+'DDR3 Config'!C$18+'DDR3 Config'!C$19))</f>
        <v>658.79484097633133</v>
      </c>
      <c r="D22" s="167" t="s">
        <v>10</v>
      </c>
      <c r="E22" s="49"/>
      <c r="F22" s="54" t="s">
        <v>127</v>
      </c>
      <c r="G22" s="113">
        <f>+C22*'System Config'!C26</f>
        <v>0</v>
      </c>
      <c r="H22" s="121" t="s">
        <v>10</v>
      </c>
      <c r="I22" s="49"/>
      <c r="J22" s="54" t="s">
        <v>115</v>
      </c>
      <c r="K22" s="113">
        <f>+G22</f>
        <v>0</v>
      </c>
      <c r="L22" s="121" t="s">
        <v>10</v>
      </c>
      <c r="M22" s="14"/>
    </row>
    <row r="23" spans="1:13" ht="13.8" thickBot="1">
      <c r="A23" s="49"/>
      <c r="B23" s="49"/>
      <c r="C23" s="49"/>
      <c r="D23" s="47"/>
      <c r="E23" s="49"/>
      <c r="F23" s="49"/>
      <c r="G23" s="49"/>
      <c r="H23" s="47"/>
      <c r="I23" s="49"/>
      <c r="J23" s="49"/>
      <c r="K23" s="49"/>
      <c r="L23" s="47"/>
    </row>
    <row r="24" spans="1:13" s="3" customFormat="1" ht="19.2" customHeight="1" thickBot="1">
      <c r="A24" s="35"/>
      <c r="B24" s="35"/>
      <c r="C24" s="114"/>
      <c r="D24" s="122"/>
      <c r="E24" s="35"/>
      <c r="F24" s="35"/>
      <c r="G24" s="41"/>
      <c r="H24" s="122"/>
      <c r="I24" s="35"/>
      <c r="J24" s="168" t="s">
        <v>0</v>
      </c>
      <c r="K24" s="115">
        <f>SUM(K11:K20)</f>
        <v>272.34923136945758</v>
      </c>
      <c r="L24" s="123" t="s">
        <v>10</v>
      </c>
    </row>
    <row r="25" spans="1:13" ht="16.2" thickBot="1">
      <c r="G25" s="41"/>
      <c r="H25" s="122"/>
      <c r="I25" s="35"/>
      <c r="J25" s="168" t="s">
        <v>302</v>
      </c>
      <c r="K25" s="115">
        <f>SUM(K21:K22)</f>
        <v>0</v>
      </c>
      <c r="L25" s="123" t="s">
        <v>10</v>
      </c>
    </row>
    <row r="27" spans="1:13" ht="29.25" customHeight="1">
      <c r="G27" s="277"/>
      <c r="H27" s="277"/>
      <c r="K27" s="277"/>
      <c r="L27" s="277"/>
    </row>
    <row r="28" spans="1:13" hidden="1"/>
    <row r="29" spans="1:13" hidden="1">
      <c r="A29" t="s">
        <v>9</v>
      </c>
      <c r="C29">
        <f>'System Config'!C7</f>
        <v>1.5</v>
      </c>
    </row>
    <row r="30" spans="1:13" hidden="1">
      <c r="A30" t="s">
        <v>54</v>
      </c>
      <c r="C30">
        <f>'System Config'!C8</f>
        <v>400</v>
      </c>
    </row>
    <row r="31" spans="1:13" hidden="1"/>
    <row r="32" spans="1:13" hidden="1">
      <c r="A32" t="s">
        <v>55</v>
      </c>
    </row>
    <row r="33" spans="1:3" hidden="1">
      <c r="A33" t="s">
        <v>47</v>
      </c>
      <c r="C33" t="str">
        <f>'DDR3 Config'!C7</f>
        <v>2Gb</v>
      </c>
    </row>
    <row r="34" spans="1:3" hidden="1">
      <c r="A34" t="s">
        <v>56</v>
      </c>
      <c r="C34">
        <f>'DDR3 Config'!C8</f>
        <v>16</v>
      </c>
    </row>
    <row r="35" spans="1:3" hidden="1">
      <c r="A35" t="s">
        <v>48</v>
      </c>
      <c r="C35" t="str">
        <f>'DDR3 Config'!C9</f>
        <v>-125</v>
      </c>
    </row>
    <row r="36" spans="1:3" hidden="1"/>
  </sheetData>
  <mergeCells count="2">
    <mergeCell ref="G27:H27"/>
    <mergeCell ref="K27:L27"/>
  </mergeCells>
  <phoneticPr fontId="0" type="noConversion"/>
  <printOptions horizontalCentered="1"/>
  <pageMargins left="0.25" right="0.25" top="0.25" bottom="0.25" header="0.5" footer="0.5"/>
  <pageSetup scale="98"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Q65"/>
  <sheetViews>
    <sheetView showGridLines="0" topLeftCell="A7" workbookViewId="0">
      <selection activeCell="A6" sqref="A6"/>
    </sheetView>
  </sheetViews>
  <sheetFormatPr baseColWidth="10" defaultColWidth="8.6640625" defaultRowHeight="13.2"/>
  <cols>
    <col min="1" max="1" width="2.6640625" customWidth="1"/>
    <col min="2" max="2" width="5.6640625" customWidth="1"/>
    <col min="3" max="3" width="32" customWidth="1"/>
    <col min="11" max="11" width="7.5546875" customWidth="1"/>
    <col min="12" max="12" width="6.33203125" customWidth="1"/>
    <col min="14" max="14" width="25" customWidth="1"/>
    <col min="15" max="15" width="99.6640625" customWidth="1"/>
    <col min="16" max="16" width="11.33203125" customWidth="1"/>
    <col min="17" max="17" width="8.6640625" customWidth="1"/>
  </cols>
  <sheetData>
    <row r="1" spans="1:17">
      <c r="A1" s="20"/>
    </row>
    <row r="5" spans="1:17" ht="22.8">
      <c r="A5" s="126" t="str">
        <f>CONCATENATE('DDR3 Config'!C7," ",IF('DDR3 Config'!K12=1,"DDR3","DDR3L")," SDRAM with ",'DDR3 Config'!C8," DQs and a ",'DDR3 Config'!C9," Speed Grade")</f>
        <v>2Gb DDR3 SDRAM with 16 DQs and a -125 Speed Grade</v>
      </c>
      <c r="B5" s="126"/>
      <c r="C5" s="126"/>
      <c r="D5" s="126"/>
      <c r="E5" s="126"/>
      <c r="F5" s="126"/>
      <c r="G5" s="126"/>
      <c r="H5" s="126"/>
      <c r="I5" s="126"/>
      <c r="J5" s="126"/>
      <c r="K5" s="126"/>
      <c r="L5" s="126"/>
      <c r="M5" s="126"/>
    </row>
    <row r="6" spans="1:17" ht="5.25" customHeight="1"/>
    <row r="7" spans="1:17" s="2" customFormat="1" ht="42" customHeight="1" thickBot="1">
      <c r="A7" s="124"/>
      <c r="B7" s="124"/>
      <c r="C7" s="125" t="str">
        <f>CONCATENATE(A49," ",A50," ",A51," All parameters are calculated and require no user input.")</f>
        <v>System is operating at 400 MHz clock with VDD = 1.5V. Read bandwidth is 480 MT/s with write bandwidth of 480 MT/s. The DRAM terminates  0 MT/s. ACT commands are separated by 33.3ns on average. All parameters are calculated and require no user input.</v>
      </c>
      <c r="D7" s="125"/>
      <c r="E7" s="125"/>
      <c r="F7" s="125"/>
      <c r="G7" s="125"/>
      <c r="H7" s="125"/>
      <c r="I7" s="125"/>
      <c r="J7" s="125"/>
      <c r="K7" s="125"/>
      <c r="L7" s="125"/>
      <c r="M7" s="125"/>
    </row>
    <row r="8" spans="1:17" s="27" customFormat="1" ht="27" customHeight="1">
      <c r="A8" s="175"/>
      <c r="B8" s="278" t="s">
        <v>306</v>
      </c>
      <c r="C8" s="279"/>
      <c r="D8" s="279"/>
      <c r="E8" s="279"/>
      <c r="F8" s="176"/>
      <c r="G8" s="176"/>
      <c r="H8" s="176"/>
      <c r="I8" s="176"/>
      <c r="J8" s="176"/>
      <c r="K8" s="176"/>
      <c r="L8" s="176"/>
      <c r="M8" s="177"/>
    </row>
    <row r="9" spans="1:17" ht="14.4" thickBot="1">
      <c r="A9" s="178"/>
      <c r="B9" s="173"/>
      <c r="C9" s="173"/>
      <c r="D9" s="174"/>
      <c r="E9" s="173"/>
      <c r="M9" s="179"/>
      <c r="P9" s="169" t="s">
        <v>250</v>
      </c>
      <c r="Q9" s="170" t="s">
        <v>250</v>
      </c>
    </row>
    <row r="10" spans="1:17" ht="13.8">
      <c r="A10" s="178"/>
      <c r="B10" s="203" t="s">
        <v>309</v>
      </c>
      <c r="C10" s="204"/>
      <c r="D10" s="205">
        <f>'Power Calcs'!K16</f>
        <v>33.354783354783365</v>
      </c>
      <c r="E10" s="206" t="s">
        <v>10</v>
      </c>
      <c r="M10" s="179"/>
      <c r="P10" s="171" t="str">
        <f>$B$10</f>
        <v>ACT</v>
      </c>
      <c r="Q10" s="172">
        <f>$D$10</f>
        <v>33.354783354783365</v>
      </c>
    </row>
    <row r="11" spans="1:17" ht="13.8">
      <c r="A11" s="178"/>
      <c r="B11" s="199"/>
      <c r="C11" s="200" t="s">
        <v>81</v>
      </c>
      <c r="D11" s="201">
        <f>D10</f>
        <v>33.354783354783365</v>
      </c>
      <c r="E11" s="202" t="s">
        <v>10</v>
      </c>
      <c r="M11" s="179"/>
      <c r="P11" s="171" t="str">
        <f>$B$12</f>
        <v>RD</v>
      </c>
      <c r="Q11" s="172">
        <f>$D$12</f>
        <v>21.000000000000007</v>
      </c>
    </row>
    <row r="12" spans="1:17" ht="13.8">
      <c r="A12" s="178"/>
      <c r="B12" s="207" t="s">
        <v>311</v>
      </c>
      <c r="C12" s="208"/>
      <c r="D12" s="209">
        <f>'Power Calcs'!K18</f>
        <v>21.000000000000007</v>
      </c>
      <c r="E12" s="210" t="s">
        <v>10</v>
      </c>
      <c r="M12" s="179"/>
      <c r="P12" s="171" t="str">
        <f>$B$13</f>
        <v>WR</v>
      </c>
      <c r="Q12" s="172">
        <f>$D$13</f>
        <v>23.357142857142858</v>
      </c>
    </row>
    <row r="13" spans="1:17" ht="13.8">
      <c r="A13" s="178"/>
      <c r="B13" s="207" t="s">
        <v>310</v>
      </c>
      <c r="C13" s="208"/>
      <c r="D13" s="209">
        <f>'Power Calcs'!K17</f>
        <v>23.357142857142858</v>
      </c>
      <c r="E13" s="210" t="s">
        <v>10</v>
      </c>
      <c r="M13" s="179"/>
      <c r="P13" s="171" t="str">
        <f>$B$14</f>
        <v>READ I/O</v>
      </c>
      <c r="Q13" s="172">
        <f>$D$14</f>
        <v>32.708931783403592</v>
      </c>
    </row>
    <row r="14" spans="1:17" ht="13.8">
      <c r="A14" s="178"/>
      <c r="B14" s="207" t="s">
        <v>312</v>
      </c>
      <c r="C14" s="208"/>
      <c r="D14" s="209">
        <f>'Power Calcs'!K19</f>
        <v>32.708931783403592</v>
      </c>
      <c r="E14" s="210" t="s">
        <v>10</v>
      </c>
      <c r="M14" s="179"/>
      <c r="P14" s="171" t="str">
        <f>$B$15</f>
        <v>Write ODT</v>
      </c>
      <c r="Q14" s="172">
        <f>$D$15</f>
        <v>136.11678912504351</v>
      </c>
    </row>
    <row r="15" spans="1:17" ht="13.8">
      <c r="A15" s="178"/>
      <c r="B15" s="207" t="s">
        <v>313</v>
      </c>
      <c r="C15" s="208"/>
      <c r="D15" s="209">
        <f>'Power Calcs'!K20</f>
        <v>136.11678912504351</v>
      </c>
      <c r="E15" s="210" t="s">
        <v>10</v>
      </c>
      <c r="M15" s="179"/>
      <c r="P15" s="171" t="str">
        <f>$B$17</f>
        <v>ACT_STBY</v>
      </c>
      <c r="Q15" s="172">
        <f>$D$17</f>
        <v>14.866071428571427</v>
      </c>
    </row>
    <row r="16" spans="1:17" ht="13.8">
      <c r="A16" s="178"/>
      <c r="B16" s="195"/>
      <c r="C16" s="196" t="s">
        <v>95</v>
      </c>
      <c r="D16" s="197">
        <f>+D12+D13+D14+D15</f>
        <v>213.18286376558996</v>
      </c>
      <c r="E16" s="198" t="s">
        <v>10</v>
      </c>
      <c r="M16" s="179"/>
      <c r="P16" s="171" t="str">
        <f>$B$18</f>
        <v>PRE_STBY</v>
      </c>
      <c r="Q16" s="172">
        <f>$D$18</f>
        <v>3.0803571428571441</v>
      </c>
    </row>
    <row r="17" spans="1:17" ht="13.8">
      <c r="A17" s="178"/>
      <c r="B17" s="211" t="s">
        <v>307</v>
      </c>
      <c r="C17" s="212"/>
      <c r="D17" s="213">
        <f>'Power Calcs'!K14</f>
        <v>14.866071428571427</v>
      </c>
      <c r="E17" s="214" t="s">
        <v>10</v>
      </c>
      <c r="M17" s="179"/>
      <c r="P17" s="171" t="str">
        <f>$B$19</f>
        <v>ACT_PDN</v>
      </c>
      <c r="Q17" s="172">
        <f>$D$19</f>
        <v>2.9464285714285716</v>
      </c>
    </row>
    <row r="18" spans="1:17" ht="13.8">
      <c r="A18" s="178"/>
      <c r="B18" s="211" t="s">
        <v>304</v>
      </c>
      <c r="C18" s="212"/>
      <c r="D18" s="213">
        <f>'Power Calcs'!K12</f>
        <v>3.0803571428571441</v>
      </c>
      <c r="E18" s="214" t="s">
        <v>10</v>
      </c>
      <c r="M18" s="179"/>
      <c r="P18" s="171" t="str">
        <f>$B$20</f>
        <v>PRE_PDN</v>
      </c>
      <c r="Q18" s="172">
        <f>$D$20</f>
        <v>0.66964285714285721</v>
      </c>
    </row>
    <row r="19" spans="1:17" ht="13.8">
      <c r="A19" s="178"/>
      <c r="B19" s="211" t="s">
        <v>305</v>
      </c>
      <c r="C19" s="212"/>
      <c r="D19" s="213">
        <f>'Power Calcs'!K13</f>
        <v>2.9464285714285716</v>
      </c>
      <c r="E19" s="214" t="s">
        <v>10</v>
      </c>
      <c r="M19" s="179"/>
      <c r="P19" s="171" t="str">
        <f>$B$21</f>
        <v>REF</v>
      </c>
      <c r="Q19" s="172">
        <f>$D$21</f>
        <v>4.24908424908425</v>
      </c>
    </row>
    <row r="20" spans="1:17" ht="13.8">
      <c r="A20" s="178"/>
      <c r="B20" s="211" t="s">
        <v>303</v>
      </c>
      <c r="C20" s="212"/>
      <c r="D20" s="213">
        <f>'Power Calcs'!K11</f>
        <v>0.66964285714285721</v>
      </c>
      <c r="E20" s="214" t="s">
        <v>10</v>
      </c>
      <c r="M20" s="179"/>
      <c r="P20" s="171" t="str">
        <f>$B$24</f>
        <v>TERM 2nd rank</v>
      </c>
      <c r="Q20" s="172">
        <f>$D$24</f>
        <v>0</v>
      </c>
    </row>
    <row r="21" spans="1:17" ht="13.8">
      <c r="A21" s="178"/>
      <c r="B21" s="211" t="s">
        <v>308</v>
      </c>
      <c r="C21" s="212"/>
      <c r="D21" s="213">
        <f>'Power Calcs'!K15</f>
        <v>4.24908424908425</v>
      </c>
      <c r="E21" s="214" t="s">
        <v>10</v>
      </c>
      <c r="M21" s="179"/>
      <c r="P21" s="169" t="s">
        <v>250</v>
      </c>
      <c r="Q21" s="36"/>
    </row>
    <row r="22" spans="1:17" ht="13.8">
      <c r="A22" s="178"/>
      <c r="B22" s="191"/>
      <c r="C22" s="192" t="s">
        <v>58</v>
      </c>
      <c r="D22" s="193">
        <f>SUM(D17:D21)</f>
        <v>25.811584249084248</v>
      </c>
      <c r="E22" s="194" t="s">
        <v>10</v>
      </c>
      <c r="M22" s="179"/>
      <c r="P22" s="169" t="s">
        <v>250</v>
      </c>
      <c r="Q22" s="36"/>
    </row>
    <row r="23" spans="1:17" ht="13.8">
      <c r="A23" s="178"/>
      <c r="B23" s="183" t="s">
        <v>211</v>
      </c>
      <c r="C23" s="182"/>
      <c r="D23" s="184">
        <f>+D16+D11+D22</f>
        <v>272.34923136945758</v>
      </c>
      <c r="E23" s="185" t="s">
        <v>10</v>
      </c>
      <c r="M23" s="179"/>
      <c r="P23" s="169" t="s">
        <v>250</v>
      </c>
      <c r="Q23" s="36"/>
    </row>
    <row r="24" spans="1:17" ht="14.4" thickBot="1">
      <c r="A24" s="178"/>
      <c r="B24" s="187" t="s">
        <v>314</v>
      </c>
      <c r="C24" s="188"/>
      <c r="D24" s="189">
        <f>+'Power Calcs'!K21+'Power Calcs'!K22</f>
        <v>0</v>
      </c>
      <c r="E24" s="190" t="s">
        <v>10</v>
      </c>
      <c r="M24" s="179"/>
      <c r="P24" s="169" t="s">
        <v>250</v>
      </c>
      <c r="Q24" s="36"/>
    </row>
    <row r="25" spans="1:17">
      <c r="A25" s="178"/>
      <c r="C25" s="36"/>
      <c r="D25" s="36"/>
      <c r="M25" s="179"/>
      <c r="P25" s="169" t="s">
        <v>250</v>
      </c>
      <c r="Q25" s="36"/>
    </row>
    <row r="26" spans="1:17">
      <c r="A26" s="178"/>
      <c r="C26" s="36"/>
      <c r="D26" s="36"/>
      <c r="M26" s="179"/>
    </row>
    <row r="27" spans="1:17">
      <c r="A27" s="178"/>
      <c r="C27" s="36"/>
      <c r="D27" s="36"/>
      <c r="M27" s="179"/>
    </row>
    <row r="28" spans="1:17">
      <c r="A28" s="178"/>
      <c r="C28" s="36"/>
      <c r="D28" s="36"/>
      <c r="M28" s="179"/>
    </row>
    <row r="29" spans="1:17">
      <c r="A29" s="178"/>
      <c r="C29" s="36"/>
      <c r="D29" s="36"/>
      <c r="M29" s="179"/>
    </row>
    <row r="30" spans="1:17">
      <c r="A30" s="178"/>
      <c r="C30" s="36"/>
      <c r="D30" s="36"/>
      <c r="M30" s="179"/>
    </row>
    <row r="31" spans="1:17">
      <c r="A31" s="178"/>
      <c r="C31" s="36"/>
      <c r="D31" s="36"/>
      <c r="M31" s="179"/>
    </row>
    <row r="32" spans="1:17">
      <c r="A32" s="178"/>
      <c r="C32" s="36"/>
      <c r="D32" s="36"/>
      <c r="M32" s="179"/>
    </row>
    <row r="33" spans="1:13">
      <c r="A33" s="178"/>
      <c r="C33" s="36"/>
      <c r="D33" s="36"/>
      <c r="M33" s="179"/>
    </row>
    <row r="34" spans="1:13">
      <c r="A34" s="178"/>
      <c r="C34" s="36"/>
      <c r="D34" s="36"/>
      <c r="M34" s="179"/>
    </row>
    <row r="35" spans="1:13">
      <c r="A35" s="178"/>
      <c r="C35" s="36"/>
      <c r="D35" s="36"/>
      <c r="M35" s="179"/>
    </row>
    <row r="36" spans="1:13">
      <c r="A36" s="178"/>
      <c r="C36" s="36"/>
      <c r="D36" s="36"/>
      <c r="M36" s="179"/>
    </row>
    <row r="37" spans="1:13">
      <c r="A37" s="178"/>
      <c r="C37" s="36"/>
      <c r="D37" s="36"/>
      <c r="M37" s="179"/>
    </row>
    <row r="38" spans="1:13">
      <c r="A38" s="178"/>
      <c r="C38" s="36"/>
      <c r="D38" s="36"/>
      <c r="M38" s="179"/>
    </row>
    <row r="39" spans="1:13">
      <c r="A39" s="178"/>
      <c r="C39" s="36"/>
      <c r="D39" s="36"/>
      <c r="M39" s="179"/>
    </row>
    <row r="40" spans="1:13">
      <c r="A40" s="178"/>
      <c r="C40" s="36"/>
      <c r="D40" s="36"/>
      <c r="M40" s="179"/>
    </row>
    <row r="41" spans="1:13">
      <c r="A41" s="178"/>
      <c r="C41" s="36"/>
      <c r="D41" s="36"/>
      <c r="M41" s="179"/>
    </row>
    <row r="42" spans="1:13">
      <c r="A42" s="178"/>
      <c r="C42" s="36"/>
      <c r="D42" s="36"/>
      <c r="M42" s="179"/>
    </row>
    <row r="43" spans="1:13">
      <c r="A43" s="178"/>
      <c r="C43" s="36"/>
      <c r="D43" s="36"/>
      <c r="M43" s="179"/>
    </row>
    <row r="44" spans="1:13">
      <c r="A44" s="178"/>
      <c r="C44" s="36"/>
      <c r="D44" s="36"/>
      <c r="M44" s="179"/>
    </row>
    <row r="45" spans="1:13">
      <c r="A45" s="178"/>
      <c r="M45" s="179"/>
    </row>
    <row r="46" spans="1:13">
      <c r="A46" s="178"/>
      <c r="M46" s="179"/>
    </row>
    <row r="47" spans="1:13">
      <c r="A47" s="178"/>
      <c r="M47" s="179"/>
    </row>
    <row r="48" spans="1:13">
      <c r="A48" s="178"/>
      <c r="M48" s="179"/>
    </row>
    <row r="49" spans="1:13" ht="1.2" customHeight="1">
      <c r="A49" s="178" t="str">
        <f>CONCATENATE("System is operating at ",'System Config'!C8," MHz clock with VDD = ",'System Config'!C7,"V.")</f>
        <v>System is operating at 400 MHz clock with VDD = 1.5V.</v>
      </c>
      <c r="M49" s="179"/>
    </row>
    <row r="50" spans="1:13" ht="14.7" hidden="1" customHeight="1">
      <c r="A50" s="178" t="str">
        <f>CONCATENATE("Read bandwidth is ",B52," MT/s with write bandwidth of ",B53," MT/s. The DRAM terminates  ",B54," MT/s.")</f>
        <v>Read bandwidth is 480 MT/s with write bandwidth of 480 MT/s. The DRAM terminates  0 MT/s.</v>
      </c>
      <c r="M50" s="179"/>
    </row>
    <row r="51" spans="1:13" ht="17.7" hidden="1" customHeight="1">
      <c r="A51" s="178" t="str">
        <f>CONCATENATE("ACT commands are separated by ",'System Config'!C28,"ns on average.")</f>
        <v>ACT commands are separated by 33.3ns on average.</v>
      </c>
      <c r="M51" s="179"/>
    </row>
    <row r="52" spans="1:13" ht="13.2" hidden="1" customHeight="1">
      <c r="A52" s="178"/>
      <c r="B52" s="37">
        <f>INT('System Config'!C8*'System Config'!C22*'DDR3 Config'!C8/8*20+0.999)/10</f>
        <v>480</v>
      </c>
      <c r="C52" t="s">
        <v>35</v>
      </c>
      <c r="M52" s="179"/>
    </row>
    <row r="53" spans="1:13" ht="16.95" hidden="1" customHeight="1">
      <c r="A53" s="178" t="s">
        <v>14</v>
      </c>
      <c r="B53" s="38">
        <f>INT('System Config'!C8*'System Config'!C23*'DDR3 Config'!C8/8*20+0.99)/10</f>
        <v>480</v>
      </c>
      <c r="C53" t="s">
        <v>35</v>
      </c>
      <c r="M53" s="179"/>
    </row>
    <row r="54" spans="1:13" ht="22.2" hidden="1" customHeight="1">
      <c r="A54" s="178" t="s">
        <v>34</v>
      </c>
      <c r="B54" s="39">
        <f>INT('System Config'!C8*('System Config'!C26+'System Config'!C25)*'DDR3 Config'!C8/8*20+0.99)/10</f>
        <v>0</v>
      </c>
      <c r="C54" t="s">
        <v>35</v>
      </c>
      <c r="M54" s="179"/>
    </row>
    <row r="55" spans="1:13" ht="21.6" hidden="1" customHeight="1">
      <c r="A55" s="178" t="s">
        <v>96</v>
      </c>
      <c r="M55" s="179"/>
    </row>
    <row r="56" spans="1:13" ht="12" hidden="1" customHeight="1">
      <c r="A56" s="178"/>
      <c r="M56" s="179"/>
    </row>
    <row r="57" spans="1:13" hidden="1">
      <c r="A57" s="178"/>
      <c r="M57" s="179"/>
    </row>
    <row r="58" spans="1:13" hidden="1">
      <c r="A58" s="178"/>
      <c r="M58" s="179"/>
    </row>
    <row r="59" spans="1:13" hidden="1">
      <c r="A59" s="178"/>
      <c r="M59" s="179"/>
    </row>
    <row r="60" spans="1:13" hidden="1">
      <c r="A60" s="178"/>
      <c r="M60" s="179"/>
    </row>
    <row r="61" spans="1:13">
      <c r="A61" s="178"/>
      <c r="M61" s="179"/>
    </row>
    <row r="62" spans="1:13">
      <c r="A62" s="178"/>
      <c r="M62" s="179"/>
    </row>
    <row r="63" spans="1:13">
      <c r="A63" s="178"/>
      <c r="M63" s="179"/>
    </row>
    <row r="64" spans="1:13" ht="13.8" thickBot="1">
      <c r="A64" s="180"/>
      <c r="B64" s="180"/>
      <c r="C64" s="180"/>
      <c r="D64" s="180"/>
      <c r="E64" s="180"/>
      <c r="F64" s="180"/>
      <c r="G64" s="180"/>
      <c r="H64" s="180"/>
      <c r="I64" s="180"/>
      <c r="J64" s="180"/>
      <c r="K64" s="180"/>
      <c r="L64" s="180"/>
      <c r="M64" s="181"/>
    </row>
    <row r="65" ht="10.95" customHeight="1"/>
  </sheetData>
  <mergeCells count="1">
    <mergeCell ref="B8:E8"/>
  </mergeCells>
  <phoneticPr fontId="0" type="noConversion"/>
  <printOptions horizontalCentered="1"/>
  <pageMargins left="0.25" right="0.25" top="0.25" bottom="0.25" header="0.5" footer="0.5"/>
  <pageSetup scale="83" orientation="landscape" r:id="rId1"/>
  <headerFooter alignWithMargins="0"/>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EC0451D3A884D40821FF906FB015D0B" ma:contentTypeVersion="13" ma:contentTypeDescription="Create a new document." ma:contentTypeScope="" ma:versionID="e68e8387ed4110eefe4d75d705de191e">
  <xsd:schema xmlns:xsd="http://www.w3.org/2001/XMLSchema" xmlns:xs="http://www.w3.org/2001/XMLSchema" xmlns:p="http://schemas.microsoft.com/office/2006/metadata/properties" xmlns:ns3="9493e371-5797-434c-962e-ac1cbfafc258" xmlns:ns4="ec5ffe13-ead4-4a69-8ae4-547ac46bd04b" targetNamespace="http://schemas.microsoft.com/office/2006/metadata/properties" ma:root="true" ma:fieldsID="5c0a974502273b31d59b38359adce306" ns3:_="" ns4:_="">
    <xsd:import namespace="9493e371-5797-434c-962e-ac1cbfafc258"/>
    <xsd:import namespace="ec5ffe13-ead4-4a69-8ae4-547ac46bd04b"/>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493e371-5797-434c-962e-ac1cbfafc25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Location" ma:index="12" nillable="true" ma:displayName="Location" ma:internalName="MediaServiceLocation"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ffe13-ead4-4a69-8ae4-547ac46bd04b"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8F1CD98-8DC5-4B09-93B0-6392EA6B5B9D}">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9493e371-5797-434c-962e-ac1cbfafc258"/>
    <ds:schemaRef ds:uri="ec5ffe13-ead4-4a69-8ae4-547ac46bd04b"/>
    <ds:schemaRef ds:uri="http://www.w3.org/XML/1998/namespace"/>
    <ds:schemaRef ds:uri="http://purl.org/dc/dcmitype/"/>
  </ds:schemaRefs>
</ds:datastoreItem>
</file>

<file path=customXml/itemProps2.xml><?xml version="1.0" encoding="utf-8"?>
<ds:datastoreItem xmlns:ds="http://schemas.openxmlformats.org/officeDocument/2006/customXml" ds:itemID="{DF1B8CA0-A311-464C-9550-2174FC250EC4}">
  <ds:schemaRefs>
    <ds:schemaRef ds:uri="http://schemas.microsoft.com/sharepoint/v3/contenttype/forms"/>
  </ds:schemaRefs>
</ds:datastoreItem>
</file>

<file path=customXml/itemProps3.xml><?xml version="1.0" encoding="utf-8"?>
<ds:datastoreItem xmlns:ds="http://schemas.openxmlformats.org/officeDocument/2006/customXml" ds:itemID="{CF9EF542-9303-4252-ACE1-6056F5E0DF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493e371-5797-434c-962e-ac1cbfafc258"/>
    <ds:schemaRef ds:uri="ec5ffe13-ead4-4a69-8ae4-547ac46bd04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7</vt:i4>
      </vt:variant>
    </vt:vector>
  </HeadingPairs>
  <TitlesOfParts>
    <vt:vector size="14" baseType="lpstr">
      <vt:lpstr>Title</vt:lpstr>
      <vt:lpstr>Instructions</vt:lpstr>
      <vt:lpstr>DDR3 Spec</vt:lpstr>
      <vt:lpstr>DDR3 Config</vt:lpstr>
      <vt:lpstr>System Config</vt:lpstr>
      <vt:lpstr>Power Calcs</vt:lpstr>
      <vt:lpstr>Summary</vt:lpstr>
      <vt:lpstr>'DDR3 Config'!Zone_d_impression</vt:lpstr>
      <vt:lpstr>'DDR3 Spec'!Zone_d_impression</vt:lpstr>
      <vt:lpstr>Instructions!Zone_d_impression</vt:lpstr>
      <vt:lpstr>'Power Calcs'!Zone_d_impression</vt:lpstr>
      <vt:lpstr>Summary!Zone_d_impression</vt:lpstr>
      <vt:lpstr>'System Config'!Zone_d_impression</vt:lpstr>
      <vt:lpstr>Title!Zone_d_impression</vt:lpstr>
    </vt:vector>
  </TitlesOfParts>
  <Company>Micron Technology,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jjanzen</dc:creator>
  <cp:lastModifiedBy>Julien Guay</cp:lastModifiedBy>
  <cp:lastPrinted>2007-03-14T16:31:05Z</cp:lastPrinted>
  <dcterms:created xsi:type="dcterms:W3CDTF">2001-02-07T14:39:54Z</dcterms:created>
  <dcterms:modified xsi:type="dcterms:W3CDTF">2024-01-17T19:28:11Z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MSIP_Label_37874100-6000-43b6-a204-2d77792600b9_Enabled">
    <vt:lpwstr>true</vt:lpwstr>
  </property>
  <property fmtid="{D5CDD505-2E9C-101B-9397-08002B2CF9AE}" pid="4" name="MSIP_Label_37874100-6000-43b6-a204-2d77792600b9_SetDate">
    <vt:lpwstr>2020-10-07T20:19:17Z</vt:lpwstr>
  </property>
  <property fmtid="{D5CDD505-2E9C-101B-9397-08002B2CF9AE}" pid="5" name="MSIP_Label_37874100-6000-43b6-a204-2d77792600b9_Method">
    <vt:lpwstr>Standard</vt:lpwstr>
  </property>
  <property fmtid="{D5CDD505-2E9C-101B-9397-08002B2CF9AE}" pid="6" name="MSIP_Label_37874100-6000-43b6-a204-2d77792600b9_Name">
    <vt:lpwstr>Confidential</vt:lpwstr>
  </property>
  <property fmtid="{D5CDD505-2E9C-101B-9397-08002B2CF9AE}" pid="7" name="MSIP_Label_37874100-6000-43b6-a204-2d77792600b9_SiteId">
    <vt:lpwstr>f38a5ecd-2813-4862-b11b-ac1d563c806f</vt:lpwstr>
  </property>
  <property fmtid="{D5CDD505-2E9C-101B-9397-08002B2CF9AE}" pid="8" name="MSIP_Label_37874100-6000-43b6-a204-2d77792600b9_ActionId">
    <vt:lpwstr>fbc051fe-a929-420e-9afe-0000a986a85b</vt:lpwstr>
  </property>
  <property fmtid="{D5CDD505-2E9C-101B-9397-08002B2CF9AE}" pid="9" name="MSIP_Label_37874100-6000-43b6-a204-2d77792600b9_ContentBits">
    <vt:lpwstr>3</vt:lpwstr>
  </property>
  <property fmtid="{D5CDD505-2E9C-101B-9397-08002B2CF9AE}" pid="10" name="ContentTypeId">
    <vt:lpwstr>0x0101003EC0451D3A884D40821FF906FB015D0B</vt:lpwstr>
  </property>
</Properties>
</file>